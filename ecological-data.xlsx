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2.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lessing\"/>
    </mc:Choice>
  </mc:AlternateContent>
  <bookViews>
    <workbookView xWindow="-105" yWindow="-105" windowWidth="19425" windowHeight="10425" tabRatio="730" firstSheet="7" activeTab="18"/>
  </bookViews>
  <sheets>
    <sheet name="master sheet phytoplankton" sheetId="6" r:id="rId1"/>
    <sheet name="Sheet3" sheetId="34" r:id="rId2"/>
    <sheet name="MASTER PLANKTON" sheetId="7" r:id="rId3"/>
    <sheet name="GRANDMASTER SHEET (2)" sheetId="27" r:id="rId4"/>
    <sheet name="SPECIE ABUNDANCE" sheetId="26" r:id="rId5"/>
    <sheet name="Sheet5" sheetId="33" r:id="rId6"/>
    <sheet name="GRAND STAT" sheetId="30" r:id="rId7"/>
    <sheet name="GRANDMASTER SHEET" sheetId="20" r:id="rId8"/>
    <sheet name="correlation" sheetId="28" r:id="rId9"/>
    <sheet name="physiochemical and heavy metals" sheetId="23" r:id="rId10"/>
    <sheet name="SPECIE RICHNESS" sheetId="13" r:id="rId11"/>
    <sheet name="Sheet7" sheetId="24" state="hidden" r:id="rId12"/>
    <sheet name="Sheet1" sheetId="8" state="hidden" r:id="rId13"/>
    <sheet name="Jul" sheetId="1" state="hidden" r:id="rId14"/>
    <sheet name="July2 graph" sheetId="4" state="hidden" r:id="rId15"/>
    <sheet name="station richness" sheetId="3" state="hidden" r:id="rId16"/>
    <sheet name="Sheet2" sheetId="17" state="hidden" r:id="rId17"/>
    <sheet name="BIOLOGICAL STAT" sheetId="19" r:id="rId18"/>
    <sheet name="Sheet4" sheetId="21" r:id="rId19"/>
  </sheets>
  <definedNames>
    <definedName name="_xlcn.LinkedTable_planktondata" hidden="1">planktondata[]</definedName>
    <definedName name="_xlcn.WorksheetConnection_GRANDMASTERSHEET2A34C46" hidden="1">'GRANDMASTER SHEET (2)'!$A$34:$B$46</definedName>
    <definedName name="Slicer_MONTH">#N/A</definedName>
    <definedName name="Slicer_MONTH1">#N/A</definedName>
    <definedName name="Slicer_PLANKTON_TYPE">#N/A</definedName>
  </definedNames>
  <calcPr calcId="152511"/>
  <pivotCaches>
    <pivotCache cacheId="0" r:id="rId20"/>
    <pivotCache cacheId="1" r:id="rId21"/>
    <pivotCache cacheId="2" r:id="rId22"/>
    <pivotCache cacheId="3" r:id="rId23"/>
    <pivotCache cacheId="4"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04cadb08-8e2b-404a-96ae-5ee5ef8088a1" name="Range" connection="WorksheetConnection_GRANDMASTER SHEET (2)!$A$34:$C$46"/>
          <x15:modelTable id="planktondata-28db1cbc-55f7-4edb-9f8e-ae7bfbabd6ce" name="planktondata" connection="LinkedTable_plankto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6" l="1"/>
  <c r="B178" i="33" l="1"/>
  <c r="D163" i="33"/>
  <c r="C147" i="33"/>
  <c r="B97" i="33"/>
  <c r="B35" i="27"/>
  <c r="B38" i="27"/>
  <c r="B46" i="27"/>
  <c r="B43" i="27"/>
  <c r="B42" i="27"/>
  <c r="B41" i="27"/>
  <c r="B40" i="27"/>
  <c r="B39" i="27"/>
  <c r="B37" i="27"/>
  <c r="B36" i="27"/>
  <c r="AK105" i="7" l="1"/>
  <c r="AJ105" i="7"/>
  <c r="AI105" i="7"/>
  <c r="AH105" i="7"/>
  <c r="AK104" i="7"/>
  <c r="AJ104" i="7"/>
  <c r="AI104" i="7"/>
  <c r="AH104" i="7"/>
  <c r="AK103" i="7"/>
  <c r="AJ103" i="7"/>
  <c r="AI103" i="7"/>
  <c r="AH103" i="7"/>
  <c r="AK102" i="7"/>
  <c r="AJ102" i="7"/>
  <c r="AI102" i="7"/>
  <c r="AH102" i="7"/>
  <c r="AK101" i="7"/>
  <c r="AJ101" i="7"/>
  <c r="AI101" i="7"/>
  <c r="AH101" i="7"/>
  <c r="AK100" i="7"/>
  <c r="AJ100" i="7"/>
  <c r="AI100" i="7"/>
  <c r="AH100" i="7"/>
  <c r="AK99" i="7"/>
  <c r="AJ99" i="7"/>
  <c r="AI99" i="7"/>
  <c r="AH99" i="7"/>
  <c r="AK98" i="7"/>
  <c r="AJ98" i="7"/>
  <c r="AI98" i="7"/>
  <c r="AH98" i="7"/>
  <c r="AK97" i="7"/>
  <c r="AJ97" i="7"/>
  <c r="AI97" i="7"/>
  <c r="AH97" i="7"/>
  <c r="AK96" i="7"/>
  <c r="AJ96" i="7"/>
  <c r="AI96" i="7"/>
  <c r="AH96" i="7"/>
  <c r="AK95" i="7"/>
  <c r="AJ95" i="7"/>
  <c r="AI95" i="7"/>
  <c r="AH95" i="7"/>
  <c r="AK94" i="7"/>
  <c r="AJ94" i="7"/>
  <c r="AI94" i="7"/>
  <c r="AH94" i="7"/>
  <c r="AK93" i="7"/>
  <c r="AJ93" i="7"/>
  <c r="AI93" i="7"/>
  <c r="AH93" i="7"/>
  <c r="AK92" i="7"/>
  <c r="AJ92" i="7"/>
  <c r="AI92" i="7"/>
  <c r="AH92" i="7"/>
  <c r="AK91" i="7"/>
  <c r="AJ91" i="7"/>
  <c r="AI91" i="7"/>
  <c r="AH91" i="7"/>
  <c r="AK90" i="7"/>
  <c r="AJ90" i="7"/>
  <c r="AI90" i="7"/>
  <c r="AH90" i="7"/>
  <c r="AK89" i="7"/>
  <c r="AJ89" i="7"/>
  <c r="AI89" i="7"/>
  <c r="AH89" i="7"/>
  <c r="AK88" i="7"/>
  <c r="AJ88" i="7"/>
  <c r="AI88" i="7"/>
  <c r="AH88" i="7"/>
  <c r="AK87" i="7"/>
  <c r="AJ87" i="7"/>
  <c r="AI87" i="7"/>
  <c r="AH87" i="7"/>
  <c r="AK86" i="7"/>
  <c r="AJ86" i="7"/>
  <c r="AI86" i="7"/>
  <c r="AH86" i="7"/>
  <c r="AK85" i="7"/>
  <c r="AJ85" i="7"/>
  <c r="AI85" i="7"/>
  <c r="AH85" i="7"/>
  <c r="AK84" i="7"/>
  <c r="AJ84" i="7"/>
  <c r="AI84" i="7"/>
  <c r="AH84" i="7"/>
  <c r="AK83" i="7"/>
  <c r="AJ83" i="7"/>
  <c r="AI83" i="7"/>
  <c r="AH83" i="7"/>
  <c r="AK82" i="7"/>
  <c r="AJ82" i="7"/>
  <c r="AI82" i="7"/>
  <c r="AH82" i="7"/>
  <c r="AK81" i="7"/>
  <c r="AJ81" i="7"/>
  <c r="AI81" i="7"/>
  <c r="AH81" i="7"/>
  <c r="AK80" i="7"/>
  <c r="AJ80" i="7"/>
  <c r="AI80" i="7"/>
  <c r="AH80" i="7"/>
  <c r="AK79" i="7"/>
  <c r="AJ79" i="7"/>
  <c r="AI79" i="7"/>
  <c r="AH79" i="7"/>
  <c r="AK78" i="7"/>
  <c r="AJ78" i="7"/>
  <c r="AI78" i="7"/>
  <c r="AH78" i="7"/>
  <c r="AK77" i="7"/>
  <c r="AJ77" i="7"/>
  <c r="AI77" i="7"/>
  <c r="AH77" i="7"/>
  <c r="AK76" i="7"/>
  <c r="AJ76" i="7"/>
  <c r="AI76" i="7"/>
  <c r="AH76" i="7"/>
  <c r="AK75" i="7"/>
  <c r="AJ75" i="7"/>
  <c r="AI75" i="7"/>
  <c r="AH75" i="7"/>
  <c r="AK74" i="7"/>
  <c r="AJ74" i="7"/>
  <c r="AI74" i="7"/>
  <c r="AH74" i="7"/>
  <c r="AK73" i="7"/>
  <c r="AJ73" i="7"/>
  <c r="AI73" i="7"/>
  <c r="AH73" i="7"/>
  <c r="AK72" i="7"/>
  <c r="AJ72" i="7"/>
  <c r="AI72" i="7"/>
  <c r="AH72" i="7"/>
  <c r="AK71" i="7"/>
  <c r="AJ71" i="7"/>
  <c r="AI71" i="7"/>
  <c r="AH71" i="7"/>
  <c r="AK70" i="7"/>
  <c r="AJ70" i="7"/>
  <c r="AI70" i="7"/>
  <c r="AH70" i="7"/>
  <c r="AK69" i="7"/>
  <c r="AJ69" i="7"/>
  <c r="AI69" i="7"/>
  <c r="AH69" i="7"/>
  <c r="AK68" i="7"/>
  <c r="AJ68" i="7"/>
  <c r="AI68" i="7"/>
  <c r="AH68" i="7"/>
  <c r="AK67" i="7"/>
  <c r="AJ67" i="7"/>
  <c r="AI67" i="7"/>
  <c r="AH67" i="7"/>
  <c r="AK66" i="7"/>
  <c r="AJ66" i="7"/>
  <c r="AI66" i="7"/>
  <c r="AH66" i="7"/>
  <c r="AK65" i="7"/>
  <c r="AJ65" i="7"/>
  <c r="AI65" i="7"/>
  <c r="AH65" i="7"/>
  <c r="AK64" i="7"/>
  <c r="AJ64" i="7"/>
  <c r="AI64" i="7"/>
  <c r="AH64" i="7"/>
  <c r="AK63" i="7"/>
  <c r="AJ63" i="7"/>
  <c r="AI63" i="7"/>
  <c r="AH63" i="7"/>
  <c r="AK62" i="7"/>
  <c r="AJ62" i="7"/>
  <c r="AI62" i="7"/>
  <c r="AH62" i="7"/>
  <c r="AK61" i="7"/>
  <c r="AJ61" i="7"/>
  <c r="AI61" i="7"/>
  <c r="AH61" i="7"/>
  <c r="AK60" i="7"/>
  <c r="AJ60" i="7"/>
  <c r="AI60" i="7"/>
  <c r="AH60" i="7"/>
  <c r="AK59" i="7"/>
  <c r="AJ59" i="7"/>
  <c r="AI59" i="7"/>
  <c r="AH59" i="7"/>
  <c r="AK58" i="7"/>
  <c r="AJ58" i="7"/>
  <c r="AI58" i="7"/>
  <c r="AH58" i="7"/>
  <c r="AK57" i="7"/>
  <c r="AJ57" i="7"/>
  <c r="AI57" i="7"/>
  <c r="AH57" i="7"/>
  <c r="AK56" i="7"/>
  <c r="AJ56" i="7"/>
  <c r="AI56" i="7"/>
  <c r="AH56" i="7"/>
  <c r="AJ51" i="24"/>
  <c r="AI51" i="24"/>
  <c r="AH51" i="24"/>
  <c r="AG51" i="24"/>
  <c r="AJ50" i="24"/>
  <c r="AI50" i="24"/>
  <c r="AH50" i="24"/>
  <c r="AG50" i="24"/>
  <c r="AJ49" i="24"/>
  <c r="AI49" i="24"/>
  <c r="AH49" i="24"/>
  <c r="AG49" i="24"/>
  <c r="AJ48" i="24"/>
  <c r="AI48" i="24"/>
  <c r="AH48" i="24"/>
  <c r="AG48" i="24"/>
  <c r="AJ47" i="24"/>
  <c r="AI47" i="24"/>
  <c r="AH47" i="24"/>
  <c r="AG47" i="24"/>
  <c r="AJ46" i="24"/>
  <c r="AI46" i="24"/>
  <c r="AH46" i="24"/>
  <c r="AG46" i="24"/>
  <c r="AJ45" i="24"/>
  <c r="AI45" i="24"/>
  <c r="AH45" i="24"/>
  <c r="AG45" i="24"/>
  <c r="AJ44" i="24"/>
  <c r="AI44" i="24"/>
  <c r="AH44" i="24"/>
  <c r="AG44" i="24"/>
  <c r="AJ43" i="24"/>
  <c r="AI43" i="24"/>
  <c r="AH43" i="24"/>
  <c r="AG43" i="24"/>
  <c r="AJ42" i="24"/>
  <c r="AI42" i="24"/>
  <c r="AH42" i="24"/>
  <c r="AG42" i="24"/>
  <c r="AJ41" i="24"/>
  <c r="AI41" i="24"/>
  <c r="AH41" i="24"/>
  <c r="AG41" i="24"/>
  <c r="AJ40" i="24"/>
  <c r="AI40" i="24"/>
  <c r="AH40" i="24"/>
  <c r="AG40" i="24"/>
  <c r="AJ39" i="24"/>
  <c r="AI39" i="24"/>
  <c r="AH39" i="24"/>
  <c r="AG39" i="24"/>
  <c r="AJ38" i="24"/>
  <c r="AI38" i="24"/>
  <c r="AH38" i="24"/>
  <c r="AG38" i="24"/>
  <c r="AJ37" i="24"/>
  <c r="AI37" i="24"/>
  <c r="AH37" i="24"/>
  <c r="AG37" i="24"/>
  <c r="AJ36" i="24"/>
  <c r="AI36" i="24"/>
  <c r="AH36" i="24"/>
  <c r="AG36" i="24"/>
  <c r="AJ35" i="24"/>
  <c r="AI35" i="24"/>
  <c r="AH35" i="24"/>
  <c r="AG35" i="24"/>
  <c r="AJ34" i="24"/>
  <c r="AI34" i="24"/>
  <c r="AH34" i="24"/>
  <c r="AG34" i="24"/>
  <c r="AJ33" i="24"/>
  <c r="AI33" i="24"/>
  <c r="AH33" i="24"/>
  <c r="AG33" i="24"/>
  <c r="AJ32" i="24"/>
  <c r="AI32" i="24"/>
  <c r="AH32" i="24"/>
  <c r="AG32" i="24"/>
  <c r="AJ31" i="24"/>
  <c r="AI31" i="24"/>
  <c r="AH31" i="24"/>
  <c r="AG31" i="24"/>
  <c r="AJ30" i="24"/>
  <c r="AI30" i="24"/>
  <c r="AH30" i="24"/>
  <c r="AG30" i="24"/>
  <c r="AJ29" i="24"/>
  <c r="AI29" i="24"/>
  <c r="AH29" i="24"/>
  <c r="AG29" i="24"/>
  <c r="AJ28" i="24"/>
  <c r="AI28" i="24"/>
  <c r="AH28" i="24"/>
  <c r="AG28" i="24"/>
  <c r="AJ27" i="24"/>
  <c r="AI27" i="24"/>
  <c r="AH27" i="24"/>
  <c r="AG27" i="24"/>
  <c r="AJ26" i="24"/>
  <c r="AI26" i="24"/>
  <c r="AH26" i="24"/>
  <c r="AG26" i="24"/>
  <c r="AJ25" i="24"/>
  <c r="AI25" i="24"/>
  <c r="AH25" i="24"/>
  <c r="AG25" i="24"/>
  <c r="AJ24" i="24"/>
  <c r="AI24" i="24"/>
  <c r="AH24" i="24"/>
  <c r="AG24" i="24"/>
  <c r="AJ23" i="24"/>
  <c r="AI23" i="24"/>
  <c r="AH23" i="24"/>
  <c r="AG23" i="24"/>
  <c r="AJ22" i="24"/>
  <c r="AI22" i="24"/>
  <c r="AH22" i="24"/>
  <c r="AG22" i="24"/>
  <c r="AJ21" i="24"/>
  <c r="AI21" i="24"/>
  <c r="AH21" i="24"/>
  <c r="AG21" i="24"/>
  <c r="AJ20" i="24"/>
  <c r="AI20" i="24"/>
  <c r="AH20" i="24"/>
  <c r="AG20" i="24"/>
  <c r="AJ19" i="24"/>
  <c r="AI19" i="24"/>
  <c r="AH19" i="24"/>
  <c r="AG19" i="24"/>
  <c r="AJ18" i="24"/>
  <c r="AI18" i="24"/>
  <c r="AH18" i="24"/>
  <c r="AG18" i="24"/>
  <c r="AJ17" i="24"/>
  <c r="AI17" i="24"/>
  <c r="AH17" i="24"/>
  <c r="AG17" i="24"/>
  <c r="AJ16" i="24"/>
  <c r="AI16" i="24"/>
  <c r="AH16" i="24"/>
  <c r="AG16" i="24"/>
  <c r="AJ15" i="24"/>
  <c r="AI15" i="24"/>
  <c r="AH15" i="24"/>
  <c r="AG15" i="24"/>
  <c r="AJ14" i="24"/>
  <c r="AI14" i="24"/>
  <c r="AH14" i="24"/>
  <c r="AG14" i="24"/>
  <c r="AJ13" i="24"/>
  <c r="AI13" i="24"/>
  <c r="AH13" i="24"/>
  <c r="AG13" i="24"/>
  <c r="AJ12" i="24"/>
  <c r="AI12" i="24"/>
  <c r="AH12" i="24"/>
  <c r="AG12" i="24"/>
  <c r="AJ11" i="24"/>
  <c r="AI11" i="24"/>
  <c r="AH11" i="24"/>
  <c r="AG11" i="24"/>
  <c r="AJ10" i="24"/>
  <c r="AI10" i="24"/>
  <c r="AH10" i="24"/>
  <c r="AG10" i="24"/>
  <c r="AJ9" i="24"/>
  <c r="AI9" i="24"/>
  <c r="AH9" i="24"/>
  <c r="AG9" i="24"/>
  <c r="AJ8" i="24"/>
  <c r="AI8" i="24"/>
  <c r="AH8" i="24"/>
  <c r="AG8" i="24"/>
  <c r="AJ7" i="24"/>
  <c r="AI7" i="24"/>
  <c r="AH7" i="24"/>
  <c r="AG7" i="24"/>
  <c r="AJ6" i="24"/>
  <c r="AI6" i="24"/>
  <c r="AH6" i="24"/>
  <c r="AG6" i="24"/>
  <c r="AJ5" i="24"/>
  <c r="AI5" i="24"/>
  <c r="AH5" i="24"/>
  <c r="AG5" i="24"/>
  <c r="AJ4" i="24"/>
  <c r="AI4" i="24"/>
  <c r="AH4" i="24"/>
  <c r="AG4" i="24"/>
  <c r="AJ3" i="24"/>
  <c r="AI3" i="24"/>
  <c r="AH3" i="24"/>
  <c r="AG3" i="24"/>
  <c r="AJ2" i="24"/>
  <c r="AI2" i="24"/>
  <c r="AH2" i="24"/>
  <c r="AG2" i="24"/>
  <c r="AK2" i="7" l="1"/>
  <c r="BE2" i="8" l="1"/>
  <c r="R3" i="17" l="1"/>
  <c r="BG3" i="17"/>
  <c r="BG4" i="17"/>
  <c r="BG5" i="17"/>
  <c r="BG6" i="17"/>
  <c r="BG7" i="17"/>
  <c r="BG8" i="17"/>
  <c r="BG9" i="17"/>
  <c r="BG10" i="17"/>
  <c r="BG11" i="17"/>
  <c r="BG12" i="17"/>
  <c r="BG13" i="17"/>
  <c r="BG14" i="17"/>
  <c r="BG15" i="17"/>
  <c r="BG16" i="17"/>
  <c r="BG17" i="17"/>
  <c r="BG18" i="17"/>
  <c r="BG19" i="17"/>
  <c r="BG20" i="17"/>
  <c r="BG21" i="17"/>
  <c r="BG22" i="17"/>
  <c r="BG23" i="17"/>
  <c r="BG24" i="17"/>
  <c r="BG25" i="17"/>
  <c r="BG26" i="17"/>
  <c r="BG27" i="17"/>
  <c r="BG28" i="17"/>
  <c r="BG29" i="17"/>
  <c r="BG30" i="17"/>
  <c r="BG31" i="17"/>
  <c r="BG2" i="17"/>
  <c r="AV3" i="17"/>
  <c r="AV4" i="17"/>
  <c r="AV5" i="17"/>
  <c r="AV6" i="17"/>
  <c r="AV7" i="17"/>
  <c r="AV8" i="17"/>
  <c r="AV9" i="17"/>
  <c r="AV10" i="17"/>
  <c r="AV11" i="17"/>
  <c r="AV12" i="17"/>
  <c r="AV13" i="17"/>
  <c r="AV14" i="17"/>
  <c r="AV15" i="17"/>
  <c r="AV16" i="17"/>
  <c r="AV17" i="17"/>
  <c r="AV18" i="17"/>
  <c r="AV19" i="17"/>
  <c r="AV20" i="17"/>
  <c r="AV21" i="17"/>
  <c r="AV22" i="17"/>
  <c r="AV23" i="17"/>
  <c r="AV24" i="17"/>
  <c r="AV25" i="17"/>
  <c r="AV26" i="17"/>
  <c r="AV27" i="17"/>
  <c r="AV28" i="17"/>
  <c r="AV29" i="17"/>
  <c r="AV30" i="17"/>
  <c r="AV31" i="17"/>
  <c r="AV2" i="17"/>
  <c r="AI3" i="17"/>
  <c r="AI4" i="17"/>
  <c r="AI5" i="17"/>
  <c r="AI6" i="17"/>
  <c r="AI7" i="17"/>
  <c r="AI8" i="17"/>
  <c r="AI9" i="17"/>
  <c r="AI10" i="17"/>
  <c r="AI11" i="17"/>
  <c r="AI12" i="17"/>
  <c r="AI13" i="17"/>
  <c r="AI14" i="17"/>
  <c r="AI15" i="17"/>
  <c r="AI16" i="17"/>
  <c r="AI17" i="17"/>
  <c r="AI18" i="17"/>
  <c r="AI19" i="17"/>
  <c r="AI20" i="17"/>
  <c r="AI21" i="17"/>
  <c r="AI22" i="17"/>
  <c r="AI23" i="17"/>
  <c r="AI24" i="17"/>
  <c r="AI25" i="17"/>
  <c r="AI26" i="17"/>
  <c r="AI27" i="17"/>
  <c r="AI28" i="17"/>
  <c r="AI29" i="17"/>
  <c r="AI30" i="17"/>
  <c r="AI31" i="17"/>
  <c r="AI2"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2" i="17"/>
  <c r="AK3" i="7" l="1"/>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46" i="7"/>
  <c r="AK47" i="7"/>
  <c r="AK48" i="7"/>
  <c r="AK49" i="7"/>
  <c r="AK50" i="7"/>
  <c r="AK51" i="7"/>
  <c r="AK52" i="7"/>
  <c r="AK53" i="7"/>
  <c r="AK54" i="7"/>
  <c r="AK55" i="7"/>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2" i="7"/>
  <c r="AH3" i="7" l="1"/>
  <c r="AH4" i="7"/>
  <c r="AH5" i="7"/>
  <c r="AH6" i="7"/>
  <c r="AH7" i="7"/>
  <c r="AH8"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H44" i="7"/>
  <c r="AH45" i="7"/>
  <c r="AH46" i="7"/>
  <c r="AH47" i="7"/>
  <c r="AH48" i="7"/>
  <c r="AH49" i="7"/>
  <c r="AH50" i="7"/>
  <c r="AH51" i="7"/>
  <c r="AH52" i="7"/>
  <c r="AH53" i="7"/>
  <c r="AH54" i="7"/>
  <c r="AH55" i="7"/>
  <c r="AH2" i="7"/>
  <c r="BE3" i="8"/>
  <c r="BE4" i="8"/>
  <c r="BE5" i="8"/>
  <c r="BE6" i="8"/>
  <c r="BE7" i="8"/>
  <c r="BE8" i="8"/>
  <c r="BE9" i="8"/>
  <c r="BE10" i="8"/>
  <c r="BE11" i="8"/>
  <c r="BE12" i="8"/>
  <c r="BE13" i="8"/>
  <c r="BE14" i="8"/>
  <c r="BE15" i="8"/>
  <c r="BE16" i="8"/>
  <c r="BE17" i="8"/>
  <c r="BE18" i="8"/>
  <c r="BE19" i="8"/>
  <c r="BE20" i="8"/>
  <c r="BE21" i="8"/>
  <c r="BE22" i="8"/>
  <c r="BE23" i="8"/>
  <c r="BE24" i="8"/>
  <c r="BE25" i="8"/>
  <c r="BE26" i="8"/>
  <c r="BE27" i="8"/>
  <c r="BE28" i="8"/>
  <c r="BE29" i="8"/>
  <c r="BE30" i="8"/>
  <c r="BE31" i="8"/>
  <c r="N21" i="33"/>
</calcChain>
</file>

<file path=xl/connections.xml><?xml version="1.0" encoding="utf-8"?>
<connections xmlns="http://schemas.openxmlformats.org/spreadsheetml/2006/main">
  <connection id="1" name="LinkedTable_planktondata" type="102" refreshedVersion="5" minRefreshableVersion="5">
    <extLst>
      <ext xmlns:x15="http://schemas.microsoft.com/office/spreadsheetml/2010/11/main" uri="{DE250136-89BD-433C-8126-D09CA5730AF9}">
        <x15:connection id="planktondata-28db1cbc-55f7-4edb-9f8e-ae7bfbabd6ce">
          <x15:rangePr sourceName="_xlcn.LinkedTable_planktondata"/>
        </x15:connection>
      </ext>
    </extLst>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GRANDMASTER SHEET (2)!$A$34:$C$46" type="102" refreshedVersion="5" minRefreshableVersion="5">
    <extLst>
      <ext xmlns:x15="http://schemas.microsoft.com/office/spreadsheetml/2010/11/main" uri="{DE250136-89BD-433C-8126-D09CA5730AF9}">
        <x15:connection id="Range-04cadb08-8e2b-404a-96ae-5ee5ef8088a1" autoDelete="1" usedByAddin="1">
          <x15:rangePr sourceName="_xlcn.WorksheetConnection_GRANDMASTERSHEET2A34C46"/>
        </x15:connection>
      </ext>
    </extLst>
  </connection>
</connections>
</file>

<file path=xl/sharedStrings.xml><?xml version="1.0" encoding="utf-8"?>
<sst xmlns="http://schemas.openxmlformats.org/spreadsheetml/2006/main" count="2322" uniqueCount="247">
  <si>
    <t>PHYTOPLANKTON</t>
  </si>
  <si>
    <t>JULY</t>
  </si>
  <si>
    <t>Total</t>
  </si>
  <si>
    <t>Bacillariophyta</t>
  </si>
  <si>
    <t>Aulacoseira granulata</t>
  </si>
  <si>
    <t>+</t>
  </si>
  <si>
    <r>
      <t xml:space="preserve">Coscinodiscus </t>
    </r>
    <r>
      <rPr>
        <sz val="11"/>
        <color rgb="FF000000"/>
        <rFont val="Times New Roman"/>
        <family val="1"/>
      </rPr>
      <t>sp.</t>
    </r>
  </si>
  <si>
    <r>
      <t>Cyclotella</t>
    </r>
    <r>
      <rPr>
        <sz val="11"/>
        <color rgb="FF000000"/>
        <rFont val="Times New Roman"/>
        <family val="1"/>
      </rPr>
      <t xml:space="preserve"> sp.</t>
    </r>
  </si>
  <si>
    <t>Eunotia monodon</t>
  </si>
  <si>
    <r>
      <t>Eunotia</t>
    </r>
    <r>
      <rPr>
        <sz val="11"/>
        <color rgb="FF000000"/>
        <rFont val="Times New Roman"/>
        <family val="1"/>
      </rPr>
      <t xml:space="preserve"> sp.</t>
    </r>
  </si>
  <si>
    <t>Frustulia rhomboides</t>
  </si>
  <si>
    <t>Navicula elegans</t>
  </si>
  <si>
    <r>
      <t>Navicula</t>
    </r>
    <r>
      <rPr>
        <sz val="11"/>
        <color rgb="FF000000"/>
        <rFont val="Times New Roman"/>
        <family val="1"/>
      </rPr>
      <t xml:space="preserve"> sp.</t>
    </r>
  </si>
  <si>
    <r>
      <t xml:space="preserve">Navicula </t>
    </r>
    <r>
      <rPr>
        <sz val="11"/>
        <color rgb="FF000000"/>
        <rFont val="Times New Roman"/>
        <family val="1"/>
      </rPr>
      <t>sp.2</t>
    </r>
  </si>
  <si>
    <t>Nitzschia accicularis</t>
  </si>
  <si>
    <t>Nitzschia palae</t>
  </si>
  <si>
    <r>
      <t>Nitzschia</t>
    </r>
    <r>
      <rPr>
        <sz val="11"/>
        <color rgb="FF000000"/>
        <rFont val="Times New Roman"/>
        <family val="1"/>
      </rPr>
      <t xml:space="preserve"> sp. 1</t>
    </r>
  </si>
  <si>
    <r>
      <t xml:space="preserve">Nitzschia </t>
    </r>
    <r>
      <rPr>
        <sz val="11"/>
        <color rgb="FF000000"/>
        <rFont val="Times New Roman"/>
        <family val="1"/>
      </rPr>
      <t xml:space="preserve">sp. 2 </t>
    </r>
  </si>
  <si>
    <t>Pinnularia viridis</t>
  </si>
  <si>
    <r>
      <t>Pinnularia</t>
    </r>
    <r>
      <rPr>
        <sz val="11"/>
        <color rgb="FF000000"/>
        <rFont val="Times New Roman"/>
        <family val="1"/>
      </rPr>
      <t xml:space="preserve"> sp.</t>
    </r>
  </si>
  <si>
    <r>
      <t>Synedra</t>
    </r>
    <r>
      <rPr>
        <sz val="11"/>
        <color rgb="FF000000"/>
        <rFont val="Times New Roman"/>
        <family val="1"/>
      </rPr>
      <t xml:space="preserve">  sp.</t>
    </r>
  </si>
  <si>
    <t>Chlorophyta</t>
  </si>
  <si>
    <r>
      <t>Actinastrum</t>
    </r>
    <r>
      <rPr>
        <sz val="11"/>
        <color rgb="FF000000"/>
        <rFont val="Times New Roman"/>
        <family val="1"/>
      </rPr>
      <t xml:space="preserve"> sp.</t>
    </r>
  </si>
  <si>
    <t>Ankistrodesmus falcatus</t>
  </si>
  <si>
    <t>Coelastrum microporum</t>
  </si>
  <si>
    <t>Closterium acerosum</t>
  </si>
  <si>
    <r>
      <t>Eudorina</t>
    </r>
    <r>
      <rPr>
        <sz val="11"/>
        <color rgb="FF000000"/>
        <rFont val="Times New Roman"/>
        <family val="1"/>
      </rPr>
      <t xml:space="preserve"> </t>
    </r>
  </si>
  <si>
    <r>
      <t>Eudorina</t>
    </r>
    <r>
      <rPr>
        <sz val="11"/>
        <color rgb="FF000000"/>
        <rFont val="Times New Roman"/>
        <family val="1"/>
      </rPr>
      <t xml:space="preserve"> sp.</t>
    </r>
  </si>
  <si>
    <r>
      <t xml:space="preserve">Gonium </t>
    </r>
    <r>
      <rPr>
        <sz val="11"/>
        <color rgb="FF000000"/>
        <rFont val="Times New Roman"/>
        <family val="1"/>
      </rPr>
      <t>sp</t>
    </r>
    <r>
      <rPr>
        <i/>
        <sz val="11"/>
        <color rgb="FF000000"/>
        <rFont val="Times New Roman"/>
        <family val="1"/>
      </rPr>
      <t>.</t>
    </r>
  </si>
  <si>
    <r>
      <t xml:space="preserve">Microspora </t>
    </r>
    <r>
      <rPr>
        <sz val="11"/>
        <color rgb="FF000000"/>
        <rFont val="Times New Roman"/>
        <family val="1"/>
      </rPr>
      <t xml:space="preserve"> sp.</t>
    </r>
  </si>
  <si>
    <r>
      <t>Oocystis</t>
    </r>
    <r>
      <rPr>
        <sz val="11"/>
        <color rgb="FF000000"/>
        <rFont val="Times New Roman"/>
        <family val="1"/>
      </rPr>
      <t xml:space="preserve"> sp.</t>
    </r>
  </si>
  <si>
    <t>Pandorina morum</t>
  </si>
  <si>
    <r>
      <t>Pandorina</t>
    </r>
    <r>
      <rPr>
        <sz val="11"/>
        <color rgb="FF000000"/>
        <rFont val="Times New Roman"/>
        <family val="1"/>
      </rPr>
      <t xml:space="preserve"> sp.</t>
    </r>
  </si>
  <si>
    <t>Pediastrum biradiatum</t>
  </si>
  <si>
    <r>
      <t>Pleodorina</t>
    </r>
    <r>
      <rPr>
        <sz val="11"/>
        <color rgb="FF000000"/>
        <rFont val="Times New Roman"/>
        <family val="1"/>
      </rPr>
      <t xml:space="preserve"> sp.</t>
    </r>
  </si>
  <si>
    <t>Scenedesmus quadicauda</t>
  </si>
  <si>
    <r>
      <t xml:space="preserve">Scenedesmus </t>
    </r>
    <r>
      <rPr>
        <sz val="11"/>
        <color rgb="FF000000"/>
        <rFont val="Times New Roman"/>
        <family val="1"/>
      </rPr>
      <t>sp.</t>
    </r>
  </si>
  <si>
    <t>Ulothrix zonata</t>
  </si>
  <si>
    <t>Cyanophyta</t>
  </si>
  <si>
    <r>
      <t>Lyngbya</t>
    </r>
    <r>
      <rPr>
        <sz val="11"/>
        <color rgb="FF000000"/>
        <rFont val="Times New Roman"/>
        <family val="1"/>
      </rPr>
      <t xml:space="preserve"> sp.</t>
    </r>
  </si>
  <si>
    <t>Microcystis aeruginosa</t>
  </si>
  <si>
    <t>Microcystis flos-aque</t>
  </si>
  <si>
    <r>
      <t xml:space="preserve">Nostoc </t>
    </r>
    <r>
      <rPr>
        <sz val="11"/>
        <color rgb="FF000000"/>
        <rFont val="Times New Roman"/>
        <family val="1"/>
      </rPr>
      <t>sp.</t>
    </r>
  </si>
  <si>
    <t>Oscillatoria bornettia</t>
  </si>
  <si>
    <t>Oscillatoria curviceps</t>
  </si>
  <si>
    <t>Oscillatoria granulata</t>
  </si>
  <si>
    <t>Oscillatoria limosa</t>
  </si>
  <si>
    <r>
      <t xml:space="preserve">Oscillatoria </t>
    </r>
    <r>
      <rPr>
        <sz val="11"/>
        <color rgb="FF000000"/>
        <rFont val="Times New Roman"/>
        <family val="1"/>
      </rPr>
      <t>sp.</t>
    </r>
  </si>
  <si>
    <r>
      <t xml:space="preserve">Phormidium </t>
    </r>
    <r>
      <rPr>
        <sz val="11"/>
        <color rgb="FF000000"/>
        <rFont val="Times New Roman"/>
        <family val="1"/>
      </rPr>
      <t>sp.</t>
    </r>
  </si>
  <si>
    <r>
      <t xml:space="preserve">Scytonema </t>
    </r>
    <r>
      <rPr>
        <sz val="11"/>
        <color rgb="FF000000"/>
        <rFont val="Times New Roman"/>
        <family val="1"/>
      </rPr>
      <t>sp.</t>
    </r>
  </si>
  <si>
    <t>Spirulina platensis</t>
  </si>
  <si>
    <t>Euglenophyta</t>
  </si>
  <si>
    <t>Euglena oxyuris</t>
  </si>
  <si>
    <t>Euglena viridis</t>
  </si>
  <si>
    <r>
      <t>Euglena</t>
    </r>
    <r>
      <rPr>
        <sz val="11"/>
        <color rgb="FF000000"/>
        <rFont val="Times New Roman"/>
        <family val="1"/>
      </rPr>
      <t xml:space="preserve"> sp.</t>
    </r>
  </si>
  <si>
    <t>Lepocinclis ovum</t>
  </si>
  <si>
    <r>
      <t xml:space="preserve">Lepocinclis </t>
    </r>
    <r>
      <rPr>
        <sz val="11"/>
        <color rgb="FF000000"/>
        <rFont val="Times New Roman"/>
        <family val="1"/>
      </rPr>
      <t>sp.</t>
    </r>
  </si>
  <si>
    <t>Phacus curvicauda</t>
  </si>
  <si>
    <r>
      <t xml:space="preserve">Phacus </t>
    </r>
    <r>
      <rPr>
        <sz val="11"/>
        <color rgb="FF000000"/>
        <rFont val="Times New Roman"/>
        <family val="1"/>
      </rPr>
      <t>sp.</t>
    </r>
  </si>
  <si>
    <r>
      <t xml:space="preserve">Strombomonas </t>
    </r>
    <r>
      <rPr>
        <sz val="11"/>
        <color rgb="FF000000"/>
        <rFont val="Times New Roman"/>
        <family val="1"/>
      </rPr>
      <t>sp.</t>
    </r>
  </si>
  <si>
    <t>Trachelomonas hispida</t>
  </si>
  <si>
    <r>
      <t>Trachelomonas</t>
    </r>
    <r>
      <rPr>
        <sz val="11"/>
        <color rgb="FF000000"/>
        <rFont val="Times New Roman"/>
        <family val="1"/>
      </rPr>
      <t xml:space="preserve"> sp.</t>
    </r>
  </si>
  <si>
    <t>Stn1</t>
  </si>
  <si>
    <t>Stn2</t>
  </si>
  <si>
    <t>Stn3</t>
  </si>
  <si>
    <t>Stn4</t>
  </si>
  <si>
    <t>Stn5</t>
  </si>
  <si>
    <t>Stn6</t>
  </si>
  <si>
    <t>Stn7</t>
  </si>
  <si>
    <t>Stn8</t>
  </si>
  <si>
    <t>Stn9</t>
  </si>
  <si>
    <t>Stn10</t>
  </si>
  <si>
    <t>Phytoplankton</t>
  </si>
  <si>
    <t>GROUP</t>
  </si>
  <si>
    <t>Stations</t>
  </si>
  <si>
    <t>total</t>
  </si>
  <si>
    <t>SEPTEMBER</t>
  </si>
  <si>
    <t>NOVEMBER</t>
  </si>
  <si>
    <t>Row Labels</t>
  </si>
  <si>
    <t>Actinastrum sp.</t>
  </si>
  <si>
    <t>Euglena sp.</t>
  </si>
  <si>
    <t>Navicula sp.</t>
  </si>
  <si>
    <t>Trachelomonas sp.</t>
  </si>
  <si>
    <t>Grand Total</t>
  </si>
  <si>
    <t>MONTH</t>
  </si>
  <si>
    <t>Sum of total</t>
  </si>
  <si>
    <t>bacillariophyta</t>
  </si>
  <si>
    <t>chlorophyta</t>
  </si>
  <si>
    <t>cyabophyta</t>
  </si>
  <si>
    <t>euglenophyta</t>
  </si>
  <si>
    <t>Cladocera</t>
  </si>
  <si>
    <t>Copepoda</t>
  </si>
  <si>
    <t>Rotifera</t>
  </si>
  <si>
    <t>Protozoa</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</si>
  <si>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</si>
  <si>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</si>
  <si>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</si>
  <si>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</si>
  <si>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</si>
  <si>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</si>
  <si>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</si>
  <si>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</si>
  <si>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</si>
  <si>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</si>
  <si>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</si>
  <si>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</si>
  <si>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</si>
  <si>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</si>
  <si>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</si>
  <si>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</si>
  <si>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pH</t>
  </si>
  <si>
    <t>Temperature</t>
  </si>
  <si>
    <t>Dissolved Oxygen (DO)</t>
  </si>
  <si>
    <t>Biochemical Oxygen Demand (BOD)</t>
  </si>
  <si>
    <t>Turbidity</t>
  </si>
  <si>
    <t>Total Suspended Solids (TSS)</t>
  </si>
  <si>
    <t>Electrical Conductivity (EC)</t>
  </si>
  <si>
    <t>Cu (mg/L)</t>
  </si>
  <si>
    <t>Cr (mg/L)</t>
  </si>
  <si>
    <t>Mn (mg/L)</t>
  </si>
  <si>
    <t>Ni (mg/L)</t>
  </si>
  <si>
    <t>Pb (mg/L)</t>
  </si>
  <si>
    <t>Zn (mg/L)</t>
  </si>
  <si>
    <t>&lt;0.001</t>
  </si>
  <si>
    <t>Sum of pH</t>
  </si>
  <si>
    <t>Sum of Temperature</t>
  </si>
  <si>
    <t>Sum of Dissolved Oxygen (DO)</t>
  </si>
  <si>
    <t>Sum of Biochemical Oxygen Demand (BOD)</t>
  </si>
  <si>
    <t>Sum of Turbidity</t>
  </si>
  <si>
    <t>Sum of Total Suspended Solids (TSS)</t>
  </si>
  <si>
    <t>Sum of Electrical Conductivity (EC)</t>
  </si>
  <si>
    <t>Sum of Cu (mg/L)</t>
  </si>
  <si>
    <t>Sum of Cr (mg/L)</t>
  </si>
  <si>
    <t>Sum of Mn (mg/L)</t>
  </si>
  <si>
    <t>Sum of Ni (mg/L)</t>
  </si>
  <si>
    <t>Sum of Pb (mg/L)</t>
  </si>
  <si>
    <t>Sum of Zn (mg/L)</t>
  </si>
  <si>
    <t xml:space="preserve">JULY HAD THE HIGHEST DO </t>
  </si>
  <si>
    <t>RICHNESS</t>
  </si>
  <si>
    <t>OVERALL ABUNDANCE</t>
  </si>
  <si>
    <t>JULY ABUNANCE</t>
  </si>
  <si>
    <t>NOVEMBER ABUNDANCE</t>
  </si>
  <si>
    <t>Species</t>
  </si>
  <si>
    <t>Group</t>
  </si>
  <si>
    <t>TOTAL ABUNDANCE</t>
  </si>
  <si>
    <t>JULY ABUNDANCE</t>
  </si>
  <si>
    <t>SEPTEMBER TOTAL</t>
  </si>
  <si>
    <t>NOVEMBER TOTAL</t>
  </si>
  <si>
    <t>Daphnia magna</t>
  </si>
  <si>
    <t>Daphnia pulex</t>
  </si>
  <si>
    <t>Moina micrura</t>
  </si>
  <si>
    <t>Bosmina longirostris</t>
  </si>
  <si>
    <t>Diaphanosoma brachyurum</t>
  </si>
  <si>
    <t>Cladocera sp.1</t>
  </si>
  <si>
    <t>Cladocera sp.2</t>
  </si>
  <si>
    <t>Daphnia longispina</t>
  </si>
  <si>
    <t>Bosmina coregoni</t>
  </si>
  <si>
    <t>Moina macrocopa</t>
  </si>
  <si>
    <t>Cyclops strenuus</t>
  </si>
  <si>
    <t>Mesocyclops leuckarti</t>
  </si>
  <si>
    <t>Diaptomus sp.</t>
  </si>
  <si>
    <t>Copepoda sp.1</t>
  </si>
  <si>
    <t>Copepoda sp.2</t>
  </si>
  <si>
    <t>Cyclops vicinus</t>
  </si>
  <si>
    <t>Mesocyclops thermocyclopoides</t>
  </si>
  <si>
    <t>Diaptomus gracilis</t>
  </si>
  <si>
    <t>Brachionus calyciflorus</t>
  </si>
  <si>
    <t>Brachionus angularis</t>
  </si>
  <si>
    <t>Keratella cochlearis</t>
  </si>
  <si>
    <t>Keratella tropica</t>
  </si>
  <si>
    <t>Asplanchna priodonta</t>
  </si>
  <si>
    <t>Filinia longiseta</t>
  </si>
  <si>
    <t>Trichocerca sp.</t>
  </si>
  <si>
    <t>Euchlanis dilatata</t>
  </si>
  <si>
    <t>Polyarthra sp.</t>
  </si>
  <si>
    <t>Lepadella sp.</t>
  </si>
  <si>
    <t>Rotaria rotatoria</t>
  </si>
  <si>
    <t>Colurella sp.</t>
  </si>
  <si>
    <t>Brachionus rubens</t>
  </si>
  <si>
    <t>Keratella quadrata</t>
  </si>
  <si>
    <t>Asplanchna brightwelli</t>
  </si>
  <si>
    <t>Filinia pejleri</t>
  </si>
  <si>
    <t>Trichocerca simoneae</t>
  </si>
  <si>
    <t>Polyarthra dolichoptera</t>
  </si>
  <si>
    <t>Lepadella ovalis</t>
  </si>
  <si>
    <t>Rotaria neptunia</t>
  </si>
  <si>
    <t>Colurella uncinata</t>
  </si>
  <si>
    <t>Rotifera sp.1</t>
  </si>
  <si>
    <t>Rotifera sp.2</t>
  </si>
  <si>
    <t>Euglena gracilis</t>
  </si>
  <si>
    <t>Paramecium caudatum</t>
  </si>
  <si>
    <t>Vorticella sp.</t>
  </si>
  <si>
    <t>Stentor sp.</t>
  </si>
  <si>
    <t>Spirostomum sp.</t>
  </si>
  <si>
    <t>Protozoa sp.1</t>
  </si>
  <si>
    <t>Protozoa sp.2</t>
  </si>
  <si>
    <t>Euglena sp.1</t>
  </si>
  <si>
    <t>Paramecium bursaria</t>
  </si>
  <si>
    <t>SPECIES</t>
  </si>
  <si>
    <t>PLANKTON TYPE</t>
  </si>
  <si>
    <t>ZOOPLANKTON</t>
  </si>
  <si>
    <t>SEPTEMBER ABUNDANC</t>
  </si>
  <si>
    <t>Sum of OVERALL ABUNDANCE</t>
  </si>
  <si>
    <t>Sum of JULY ABUNANCE</t>
  </si>
  <si>
    <t>Sum of SEPTEMBER ABUNDANC</t>
  </si>
  <si>
    <t>Sum of NOVEMBER ABUNDANCE</t>
  </si>
  <si>
    <t>SEPTEMBER HAS THE HIGHEST ABUNDANCE</t>
  </si>
  <si>
    <t>cyanophyta</t>
  </si>
  <si>
    <t>STATION</t>
  </si>
  <si>
    <t>Column Labels</t>
  </si>
  <si>
    <t>KPI</t>
  </si>
  <si>
    <t>VALUE</t>
  </si>
  <si>
    <t>TOTAL PLANKTON RECORDED</t>
  </si>
  <si>
    <t>TOTAL SPECIE RICHNESS</t>
  </si>
  <si>
    <t>MEAN PH</t>
  </si>
  <si>
    <t>MEAN DO</t>
  </si>
  <si>
    <t>MEAN TEMPERTURE</t>
  </si>
  <si>
    <t>MEAN EC</t>
  </si>
  <si>
    <t>PEAK BOD</t>
  </si>
  <si>
    <t>PEAK MN</t>
  </si>
  <si>
    <t>RICHNESS GROWTH</t>
  </si>
  <si>
    <t>CR AND PB</t>
  </si>
  <si>
    <t>ROTIFERS DOMINANCE</t>
  </si>
  <si>
    <t>SEPTEMBER PEAK ABUNDANCE</t>
  </si>
  <si>
    <t>Sum of RICHNESS</t>
  </si>
  <si>
    <t>Sum of bacillariophyta</t>
  </si>
  <si>
    <t>Sum of chlorophyta</t>
  </si>
  <si>
    <t>Sum of cyanophyta</t>
  </si>
  <si>
    <t>Sum of euglenophyta</t>
  </si>
  <si>
    <t>Sum of Cladocera</t>
  </si>
  <si>
    <t>Sum of Copepoda</t>
  </si>
  <si>
    <t>Sum of Rotifera</t>
  </si>
  <si>
    <t>Sum of Protozoa</t>
  </si>
  <si>
    <t>G</t>
  </si>
  <si>
    <t>Average of pH</t>
  </si>
  <si>
    <t>Max of RICHNESS</t>
  </si>
  <si>
    <t>Average of Dissolved Oxygen (DO)</t>
  </si>
  <si>
    <t>(Multiple Items)</t>
  </si>
  <si>
    <t>Sum of Stn1</t>
  </si>
  <si>
    <t>Sum of Stn2</t>
  </si>
  <si>
    <t>Sum of Stn3</t>
  </si>
  <si>
    <t>Sum of Stn4</t>
  </si>
  <si>
    <t>Sum of Stn5</t>
  </si>
  <si>
    <t>Sum of Stn6</t>
  </si>
  <si>
    <t>Sum of Stn7</t>
  </si>
  <si>
    <t>Sum of Stn8</t>
  </si>
  <si>
    <t>Sum of Stn9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</si>
</sst>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font>
      <sz val="11"/>
      <color theme="1"/>
      <name val="Calibri"/>
      <family val="2"/>
      <scheme val="minor"/>
    </font>
    <font>
      <b/>
      <sz val="11"/>
      <color rgb="FF000000"/>
      <name val="Times New Roman"/>
      <family val="1"/>
    </font>
    <font>
      <sz val="11"/>
      <color rgb="FF000000"/>
      <name val="Times New Roman"/>
      <family val="1"/>
    </font>
    <font>
      <i/>
      <sz val="11"/>
      <color rgb="FF000000"/>
      <name val="Times New Roman"/>
      <family val="1"/>
    </font>
    <font>
      <sz val="11"/>
      <color rgb="FF000000"/>
      <name val="Aptos"/>
      <family val="2"/>
    </font>
    <font>
      <sz val="8"/>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2">
    <border>
      <left/>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medium">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8" fillId="0" borderId="0" applyFont="0" applyFill="0" applyBorder="0" applyAlignment="0" applyProtection="0"/>
  </cellStyleXfs>
  <cellXfs count="50">
    <xf numFmtId="0" fontId="0" fillId="0" borderId="0" xfId="0"/>
    <xf numFmtId="0" fontId="1" fillId="0" borderId="1" xfId="0" applyFont="1" applyBorder="1" applyAlignment="1">
      <alignment vertical="center" wrapText="1"/>
    </xf>
    <xf numFmtId="0" fontId="1" fillId="0" borderId="2" xfId="0" applyFont="1" applyBorder="1" applyAlignment="1">
      <alignment vertical="center" textRotation="90" wrapText="1"/>
    </xf>
    <xf numFmtId="0" fontId="2" fillId="0" borderId="3" xfId="0" applyFont="1" applyBorder="1" applyAlignment="1">
      <alignment vertical="center" wrapText="1"/>
    </xf>
    <xf numFmtId="0" fontId="3" fillId="0" borderId="1"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4" fillId="0" borderId="4" xfId="0" applyFont="1" applyBorder="1" applyAlignment="1">
      <alignment horizontal="center" vertical="center" wrapText="1"/>
    </xf>
    <xf numFmtId="0" fontId="0" fillId="0" borderId="6" xfId="0" applyBorder="1"/>
    <xf numFmtId="0" fontId="1" fillId="0" borderId="6" xfId="0" applyFont="1" applyBorder="1" applyAlignment="1">
      <alignment vertical="center" wrapText="1"/>
    </xf>
    <xf numFmtId="0" fontId="3" fillId="0" borderId="6" xfId="0" applyFont="1" applyBorder="1" applyAlignment="1">
      <alignment vertical="center" wrapText="1"/>
    </xf>
    <xf numFmtId="0" fontId="2" fillId="0" borderId="6" xfId="0" applyFont="1" applyBorder="1" applyAlignment="1">
      <alignment horizontal="center" vertical="center" wrapText="1"/>
    </xf>
    <xf numFmtId="0" fontId="4" fillId="0" borderId="6" xfId="0" applyFont="1" applyBorder="1" applyAlignment="1">
      <alignment horizontal="center" vertical="center" wrapText="1"/>
    </xf>
    <xf numFmtId="0" fontId="3" fillId="0" borderId="7" xfId="0" applyFont="1" applyFill="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6" fillId="0" borderId="0" xfId="0" applyFont="1"/>
    <xf numFmtId="0" fontId="0" fillId="0" borderId="0" xfId="0" applyFont="1"/>
    <xf numFmtId="0" fontId="2" fillId="0" borderId="0"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0" fillId="0" borderId="0" xfId="0" applyFont="1" applyFill="1" applyBorder="1"/>
    <xf numFmtId="0" fontId="6" fillId="0" borderId="0" xfId="0" applyFont="1" applyAlignment="1"/>
    <xf numFmtId="0" fontId="3" fillId="0" borderId="9" xfId="0" applyFont="1" applyFill="1" applyBorder="1" applyAlignment="1">
      <alignment vertical="center"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1" fillId="0" borderId="9" xfId="0" applyFont="1" applyFill="1" applyBorder="1" applyAlignment="1">
      <alignment vertical="center" wrapText="1"/>
    </xf>
    <xf numFmtId="0" fontId="0" fillId="0" borderId="0" xfId="0" applyFill="1" applyBorder="1" applyAlignment="1"/>
    <xf numFmtId="0" fontId="0" fillId="0" borderId="3" xfId="0" applyFill="1" applyBorder="1" applyAlignment="1"/>
    <xf numFmtId="0" fontId="7" fillId="0" borderId="19" xfId="0" applyFont="1" applyFill="1" applyBorder="1" applyAlignment="1">
      <alignment horizontal="center"/>
    </xf>
    <xf numFmtId="0" fontId="6" fillId="0" borderId="6" xfId="0" applyFont="1" applyBorder="1" applyAlignment="1">
      <alignment horizontal="center" vertical="top"/>
    </xf>
    <xf numFmtId="0" fontId="6" fillId="0" borderId="7" xfId="0" applyFont="1" applyFill="1" applyBorder="1" applyAlignment="1">
      <alignment horizontal="center" vertical="top"/>
    </xf>
    <xf numFmtId="0" fontId="1" fillId="0" borderId="8" xfId="0" applyFont="1" applyFill="1" applyBorder="1" applyAlignment="1">
      <alignment vertical="center" wrapText="1"/>
    </xf>
    <xf numFmtId="2" fontId="0" fillId="0" borderId="0" xfId="0" applyNumberFormat="1"/>
    <xf numFmtId="164" fontId="0" fillId="0" borderId="0" xfId="0" applyNumberFormat="1"/>
    <xf numFmtId="0" fontId="6" fillId="2" borderId="20" xfId="0" applyFont="1" applyFill="1" applyBorder="1" applyAlignment="1">
      <alignment horizontal="left"/>
    </xf>
    <xf numFmtId="0" fontId="6" fillId="2" borderId="20" xfId="0" applyNumberFormat="1" applyFont="1" applyFill="1" applyBorder="1"/>
    <xf numFmtId="0" fontId="6" fillId="2" borderId="21" xfId="0" applyFont="1" applyFill="1" applyBorder="1"/>
    <xf numFmtId="9" fontId="0" fillId="0" borderId="0" xfId="1" applyFont="1"/>
    <xf numFmtId="0" fontId="2" fillId="0" borderId="5" xfId="0" applyFont="1" applyBorder="1" applyAlignment="1">
      <alignment vertical="center" wrapText="1"/>
    </xf>
    <xf numFmtId="0" fontId="2" fillId="0" borderId="2" xfId="0" applyFont="1" applyBorder="1" applyAlignment="1">
      <alignment vertical="center" wrapText="1"/>
    </xf>
  </cellXfs>
  <cellStyles count="2">
    <cellStyle name="Normal" xfId="0" builtinId="0"/>
    <cellStyle name="Percent" xfId="1" builtinId="5"/>
  </cellStyles>
  <dxfs count="3">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9"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onnections" Target="connections.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work.xlsx]Sheet5!PivotTable1</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pivotFmt>
      <c:pivotFmt>
        <c:idx val="6"/>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7"/>
        <c:spPr>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pivotFmt>
    </c:pivotFmts>
    <c:plotArea>
      <c:layout/>
      <c:lineChart>
        <c:grouping val="standard"/>
        <c:varyColors val="0"/>
        <c:ser>
          <c:idx val="0"/>
          <c:order val="0"/>
          <c:tx>
            <c:strRef>
              <c:f>Sheet5!$B$3:$B$4</c:f>
              <c:strCache>
                <c:ptCount val="1"/>
                <c:pt idx="0">
                  <c:v>JULY</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Sheet5!$A$5:$A$15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Sheet5!$B$5:$B$15</c:f>
              <c:numCache>
                <c:formatCode>General</c:formatCode>
                <c:ptCount val="10"/>
                <c:pt idx="0">
                  <c:v>7.2</c:v>
                </c:pt>
                <c:pt idx="1">
                  <c:v>7</c:v>
                </c:pt>
                <c:pt idx="2">
                  <c:v>6.8</c:v>
                </c:pt>
                <c:pt idx="3">
                  <c:v>6.7</c:v>
                </c:pt>
                <c:pt idx="4">
                  <c:v>6.6</c:v>
                </c:pt>
                <c:pt idx="5">
                  <c:v>6.5</c:v>
                </c:pt>
                <c:pt idx="6">
                  <c:v>6.4</c:v>
                </c:pt>
                <c:pt idx="7">
                  <c:v>6.2</c:v>
                </c:pt>
                <c:pt idx="8">
                  <c:v>6.1</c:v>
                </c:pt>
                <c:pt idx="9">
                  <c:v>6.1</c:v>
                </c:pt>
              </c:numCache>
            </c:numRef>
          </c:val>
          <c:smooth val="0"/>
        </c:ser>
        <c:ser>
          <c:idx val="1"/>
          <c:order val="1"/>
          <c:tx>
            <c:strRef>
              <c:f>Sheet5!$C$3:$C$4</c:f>
              <c:strCache>
                <c:ptCount val="1"/>
                <c:pt idx="0">
                  <c:v>SEPTEMBER</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Sheet5!$A$5:$A$15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Sheet5!$C$5:$C$15</c:f>
              <c:numCache>
                <c:formatCode>General</c:formatCode>
                <c:ptCount val="10"/>
                <c:pt idx="0">
                  <c:v>7.4</c:v>
                </c:pt>
                <c:pt idx="1">
                  <c:v>7.2</c:v>
                </c:pt>
                <c:pt idx="2">
                  <c:v>7</c:v>
                </c:pt>
                <c:pt idx="3">
                  <c:v>6.9</c:v>
                </c:pt>
                <c:pt idx="4">
                  <c:v>6.8</c:v>
                </c:pt>
                <c:pt idx="5">
                  <c:v>6.7</c:v>
                </c:pt>
                <c:pt idx="6">
                  <c:v>6.5</c:v>
                </c:pt>
                <c:pt idx="7">
                  <c:v>6.4</c:v>
                </c:pt>
                <c:pt idx="8">
                  <c:v>6.3</c:v>
                </c:pt>
                <c:pt idx="9">
                  <c:v>6.2</c:v>
                </c:pt>
              </c:numCache>
            </c:numRef>
          </c:val>
          <c:smooth val="0"/>
        </c:ser>
        <c:dLbls>
          <c:showLegendKey val="0"/>
          <c:showVal val="0"/>
          <c:showCatName val="0"/>
          <c:showSerName val="0"/>
          <c:showPercent val="0"/>
          <c:showBubbleSize val="0"/>
        </c:dLbls>
        <c:marker val="1"/>
        <c:smooth val="0"/>
        <c:axId val="258555904"/>
        <c:axId val="280775928"/>
      </c:lineChart>
      <c:catAx>
        <c:axId val="2585559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80775928"/>
        <c:crosses val="autoZero"/>
        <c:auto val="1"/>
        <c:lblAlgn val="ctr"/>
        <c:lblOffset val="100"/>
        <c:noMultiLvlLbl val="0"/>
      </c:catAx>
      <c:valAx>
        <c:axId val="28077592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5855590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work.xlsx]Sheet5!PivotTable2</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DISSOLVED OXYGEN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4"/>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pivotFmt>
      <c:pivotFmt>
        <c:idx val="5"/>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pivotFmt>
      <c:pivotFmt>
        <c:idx val="6"/>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7"/>
        <c:spPr>
          <a:solidFill>
            <a:schemeClr val="accent1"/>
          </a:solidFill>
          <a:ln w="22225" cap="rnd">
            <a:solidFill>
              <a:schemeClr val="accent1"/>
            </a:solidFill>
            <a:round/>
          </a:ln>
          <a:effectLst/>
        </c:spPr>
        <c:marker>
          <c:symbol val="square"/>
          <c:size val="6"/>
          <c:spPr>
            <a:solidFill>
              <a:schemeClr val="accent1"/>
            </a:solidFill>
            <a:ln w="9525">
              <a:solidFill>
                <a:schemeClr val="accent1"/>
              </a:solidFill>
              <a:round/>
            </a:ln>
            <a:effectLst/>
          </c:spPr>
        </c:marker>
      </c:pivotFmt>
      <c:pivotFmt>
        <c:idx val="8"/>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pivotFmt>
      <c:pivotFmt>
        <c:idx val="9"/>
        <c:spPr>
          <a:ln w="22225" cap="rnd">
            <a:solidFill>
              <a:schemeClr val="accent1"/>
            </a:solidFill>
            <a:round/>
          </a:ln>
          <a:effectLst/>
        </c:spPr>
        <c:marker>
          <c:symbol val="triangle"/>
          <c:size val="6"/>
          <c:spPr>
            <a:solidFill>
              <a:schemeClr val="accent2"/>
            </a:solidFill>
            <a:ln w="9525">
              <a:solidFill>
                <a:schemeClr val="accent2"/>
              </a:solidFill>
              <a:round/>
            </a:ln>
            <a:effectLst/>
          </c:spPr>
        </c:marker>
      </c:pivotFmt>
      <c:pivotFmt>
        <c:idx val="10"/>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manualLayout>
          <c:layoutTarget val="inner"/>
          <c:xMode val="edge"/>
          <c:yMode val="edge"/>
          <c:x val="5.7961251218914225E-2"/>
          <c:y val="0.19680768114531144"/>
          <c:w val="0.6396664583916275"/>
          <c:h val="0.72133204223751013"/>
        </c:manualLayout>
      </c:layout>
      <c:lineChart>
        <c:grouping val="standard"/>
        <c:varyColors val="0"/>
        <c:ser>
          <c:idx val="0"/>
          <c:order val="0"/>
          <c:tx>
            <c:strRef>
              <c:f>Sheet5!$B$20:$B$21</c:f>
              <c:strCache>
                <c:ptCount val="1"/>
                <c:pt idx="0">
                  <c:v>JULY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Sheet5!$A$22:$A$32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Sheet5!$B$22:$B$32</c:f>
              <c:numCache>
                <c:formatCode>General</c:formatCode>
                <c:ptCount val="10"/>
                <c:pt idx="0">
                  <c:v>32.4</c:v>
                </c:pt>
                <c:pt idx="1">
                  <c:v>38.9</c:v>
                </c:pt>
                <c:pt idx="2">
                  <c:v>41.2</c:v>
                </c:pt>
                <c:pt idx="3">
                  <c:v>45.6</c:v>
                </c:pt>
                <c:pt idx="4">
                  <c:v>49.8</c:v>
                </c:pt>
                <c:pt idx="5">
                  <c:v>52.4</c:v>
                </c:pt>
                <c:pt idx="6">
                  <c:v>56.7</c:v>
                </c:pt>
                <c:pt idx="7">
                  <c:v>60.3</c:v>
                </c:pt>
                <c:pt idx="8">
                  <c:v>62.5</c:v>
                </c:pt>
                <c:pt idx="9">
                  <c:v>65.3</c:v>
                </c:pt>
              </c:numCache>
            </c:numRef>
          </c:val>
          <c:smooth val="0"/>
        </c:ser>
        <c:ser>
          <c:idx val="1"/>
          <c:order val="1"/>
          <c:tx>
            <c:strRef>
              <c:f>Sheet5!$C$20:$C$21</c:f>
              <c:strCache>
                <c:ptCount val="1"/>
                <c:pt idx="0">
                  <c:v>SEPTEMBER</c:v>
                </c:pt>
              </c:strCache>
            </c:strRef>
          </c:tx>
          <c:spPr>
            <a:ln w="22225" cap="rnd">
              <a:solidFill>
                <a:schemeClr val="accent2"/>
              </a:solidFill>
              <a:round/>
            </a:ln>
            <a:effectLst/>
          </c:spPr>
          <c:marker>
            <c:symbol val="triangle"/>
            <c:size val="6"/>
            <c:spPr>
              <a:solidFill>
                <a:schemeClr val="accent2"/>
              </a:solidFill>
              <a:ln w="9525">
                <a:solidFill>
                  <a:schemeClr val="accent2"/>
                </a:solidFill>
                <a:round/>
              </a:ln>
              <a:effectLst/>
            </c:spPr>
          </c:marker>
          <c:cat>
            <c:strRef>
              <c:f>Sheet5!$A$22:$A$32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Sheet5!$C$22:$C$32</c:f>
              <c:numCache>
                <c:formatCode>General</c:formatCode>
                <c:ptCount val="10"/>
                <c:pt idx="0">
                  <c:v>8.1999999999999993</c:v>
                </c:pt>
                <c:pt idx="1">
                  <c:v>7.9</c:v>
                </c:pt>
                <c:pt idx="2">
                  <c:v>7.5</c:v>
                </c:pt>
                <c:pt idx="3">
                  <c:v>7.1</c:v>
                </c:pt>
                <c:pt idx="4">
                  <c:v>6.8</c:v>
                </c:pt>
                <c:pt idx="5">
                  <c:v>6.4</c:v>
                </c:pt>
                <c:pt idx="6">
                  <c:v>6</c:v>
                </c:pt>
                <c:pt idx="7">
                  <c:v>5.7</c:v>
                </c:pt>
                <c:pt idx="8">
                  <c:v>5.3</c:v>
                </c:pt>
                <c:pt idx="9">
                  <c:v>5</c:v>
                </c:pt>
              </c:numCache>
            </c:numRef>
          </c:val>
          <c:smooth val="0"/>
        </c:ser>
        <c:dLbls>
          <c:showLegendKey val="0"/>
          <c:showVal val="0"/>
          <c:showCatName val="0"/>
          <c:showSerName val="0"/>
          <c:showPercent val="0"/>
          <c:showBubbleSize val="0"/>
        </c:dLbls>
        <c:marker val="1"/>
        <c:smooth val="0"/>
        <c:axId val="281121016"/>
        <c:axId val="281103200"/>
      </c:lineChart>
      <c:catAx>
        <c:axId val="281121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1103200"/>
        <c:crosses val="autoZero"/>
        <c:auto val="1"/>
        <c:lblAlgn val="ctr"/>
        <c:lblOffset val="100"/>
        <c:noMultiLvlLbl val="0"/>
      </c:catAx>
      <c:valAx>
        <c:axId val="2811032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12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Sheet5!$B$36:$B$37</c:f>
              <c:strCache>
                <c:ptCount val="1"/>
                <c:pt idx="0">
                  <c:v>JULY</c:v>
                </c:pt>
              </c:strCache>
            </c:strRef>
          </c:tx>
          <c:spPr>
            <a:solidFill>
              <a:schemeClr val="accent1"/>
            </a:solidFill>
            <a:ln>
              <a:noFill/>
            </a:ln>
            <a:effectLst/>
          </c:spPr>
          <c:invertIfNegative val="0"/>
          <c:cat>
            <c:strRef>
              <c:f>Sheet5!$A$38:$A$48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Sheet5!$B$38:$B$48</c:f>
              <c:numCache>
                <c:formatCode>General</c:formatCode>
                <c:ptCount val="10"/>
                <c:pt idx="0">
                  <c:v>28.6</c:v>
                </c:pt>
                <c:pt idx="1">
                  <c:v>45.2</c:v>
                </c:pt>
                <c:pt idx="2">
                  <c:v>52.4</c:v>
                </c:pt>
                <c:pt idx="3">
                  <c:v>60.8</c:v>
                </c:pt>
                <c:pt idx="4">
                  <c:v>72.599999999999994</c:v>
                </c:pt>
                <c:pt idx="5">
                  <c:v>88.4</c:v>
                </c:pt>
                <c:pt idx="6">
                  <c:v>96.3</c:v>
                </c:pt>
                <c:pt idx="7">
                  <c:v>108.5</c:v>
                </c:pt>
                <c:pt idx="8">
                  <c:v>116.2</c:v>
                </c:pt>
                <c:pt idx="9">
                  <c:v>124.6</c:v>
                </c:pt>
              </c:numCache>
            </c:numRef>
          </c:val>
        </c:ser>
        <c:ser>
          <c:idx val="1"/>
          <c:order val="1"/>
          <c:tx>
            <c:strRef>
              <c:f>Sheet5!$C$36:$C$37</c:f>
              <c:strCache>
                <c:ptCount val="1"/>
                <c:pt idx="0">
                  <c:v>SEPTEMBER</c:v>
                </c:pt>
              </c:strCache>
            </c:strRef>
          </c:tx>
          <c:spPr>
            <a:solidFill>
              <a:schemeClr val="accent2"/>
            </a:solidFill>
            <a:ln>
              <a:noFill/>
            </a:ln>
            <a:effectLst/>
          </c:spPr>
          <c:invertIfNegative val="0"/>
          <c:cat>
            <c:strRef>
              <c:f>Sheet5!$A$38:$A$48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Sheet5!$C$38:$C$48</c:f>
              <c:numCache>
                <c:formatCode>General</c:formatCode>
                <c:ptCount val="10"/>
                <c:pt idx="0">
                  <c:v>6.5</c:v>
                </c:pt>
                <c:pt idx="1">
                  <c:v>8.1999999999999993</c:v>
                </c:pt>
                <c:pt idx="2">
                  <c:v>10.4</c:v>
                </c:pt>
                <c:pt idx="3">
                  <c:v>12.8</c:v>
                </c:pt>
                <c:pt idx="4">
                  <c:v>15.3</c:v>
                </c:pt>
                <c:pt idx="5">
                  <c:v>18.600000000000001</c:v>
                </c:pt>
                <c:pt idx="6">
                  <c:v>22.5</c:v>
                </c:pt>
                <c:pt idx="7">
                  <c:v>26.8</c:v>
                </c:pt>
                <c:pt idx="8">
                  <c:v>30.4</c:v>
                </c:pt>
                <c:pt idx="9">
                  <c:v>34.1</c:v>
                </c:pt>
              </c:numCache>
            </c:numRef>
          </c:val>
        </c:ser>
        <c:dLbls>
          <c:showLegendKey val="0"/>
          <c:showVal val="0"/>
          <c:showCatName val="0"/>
          <c:showSerName val="0"/>
          <c:showPercent val="0"/>
          <c:showBubbleSize val="0"/>
        </c:dLbls>
        <c:gapWidth val="219"/>
        <c:overlap val="-27"/>
        <c:axId val="280439120"/>
        <c:axId val="281445936"/>
      </c:barChart>
      <c:catAx>
        <c:axId val="28043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45936"/>
        <c:crosses val="autoZero"/>
        <c:auto val="1"/>
        <c:lblAlgn val="ctr"/>
        <c:lblOffset val="100"/>
        <c:noMultiLvlLbl val="0"/>
      </c:catAx>
      <c:valAx>
        <c:axId val="28144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3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SPECIE RICHNESS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Sheet5!$B$53:$B$54</c:f>
              <c:strCache>
                <c:ptCount val="1"/>
                <c:pt idx="0">
                  <c:v>JULY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Sheet5!$A$55:$A$65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Sheet5!$B$55:$B$65</c:f>
              <c:numCache>
                <c:formatCode>General</c:formatCode>
                <c:ptCount val="10"/>
                <c:pt idx="0">
                  <c:v>7</c:v>
                </c:pt>
                <c:pt idx="1">
                  <c:v>8</c:v>
                </c:pt>
                <c:pt idx="2">
                  <c:v>4</c:v>
                </c:pt>
                <c:pt idx="3">
                  <c:v>7</c:v>
                </c:pt>
                <c:pt idx="4">
                  <c:v>11</c:v>
                </c:pt>
                <c:pt idx="5">
                  <c:v>5</c:v>
                </c:pt>
                <c:pt idx="6">
                  <c:v>2</c:v>
                </c:pt>
                <c:pt idx="7">
                  <c:v>1</c:v>
                </c:pt>
                <c:pt idx="8">
                  <c:v>7</c:v>
                </c:pt>
                <c:pt idx="9">
                  <c:v>12</c:v>
                </c:pt>
              </c:numCache>
            </c:numRef>
          </c:val>
        </c:ser>
        <c:ser>
          <c:idx val="1"/>
          <c:order val="1"/>
          <c:tx>
            <c:strRef>
              <c:f>Sheet5!$C$53:$C$54</c:f>
              <c:strCache>
                <c:ptCount val="1"/>
                <c:pt idx="0">
                  <c:v>SEPTEMBER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Sheet5!$A$55:$A$65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Sheet5!$C$55:$C$65</c:f>
              <c:numCache>
                <c:formatCode>General</c:formatCode>
                <c:ptCount val="10"/>
                <c:pt idx="0">
                  <c:v>12</c:v>
                </c:pt>
                <c:pt idx="1">
                  <c:v>10</c:v>
                </c:pt>
                <c:pt idx="2">
                  <c:v>7</c:v>
                </c:pt>
                <c:pt idx="3">
                  <c:v>9</c:v>
                </c:pt>
                <c:pt idx="4">
                  <c:v>10</c:v>
                </c:pt>
                <c:pt idx="5">
                  <c:v>12</c:v>
                </c:pt>
                <c:pt idx="6">
                  <c:v>7</c:v>
                </c:pt>
                <c:pt idx="7">
                  <c:v>13</c:v>
                </c:pt>
                <c:pt idx="8">
                  <c:v>10</c:v>
                </c:pt>
                <c:pt idx="9">
                  <c:v>10</c:v>
                </c:pt>
              </c:numCache>
            </c:numRef>
          </c:val>
        </c:ser>
        <c:dLbls>
          <c:showLegendKey val="0"/>
          <c:showVal val="0"/>
          <c:showCatName val="0"/>
          <c:showSerName val="0"/>
          <c:showPercent val="0"/>
          <c:showBubbleSize val="0"/>
        </c:dLbls>
        <c:gapWidth val="100"/>
        <c:overlap val="-24"/>
        <c:axId val="281444368"/>
        <c:axId val="281444760"/>
      </c:barChart>
      <c:catAx>
        <c:axId val="281444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44760"/>
        <c:crosses val="autoZero"/>
        <c:auto val="1"/>
        <c:lblAlgn val="ctr"/>
        <c:lblOffset val="100"/>
        <c:noMultiLvlLbl val="0"/>
      </c:catAx>
      <c:valAx>
        <c:axId val="281444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4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MANGANESE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Sheet5!$B$68:$B$69</c:f>
              <c:strCache>
                <c:ptCount val="1"/>
                <c:pt idx="0">
                  <c:v>JULY</c:v>
                </c:pt>
              </c:strCache>
            </c:strRef>
          </c:tx>
          <c:spPr>
            <a:solidFill>
              <a:schemeClr val="accent1"/>
            </a:solidFill>
            <a:ln>
              <a:noFill/>
            </a:ln>
            <a:effectLst/>
          </c:spPr>
          <c:invertIfNegative val="0"/>
          <c:cat>
            <c:strRef>
              <c:f>Sheet5!$A$70:$A$80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Sheet5!$B$70:$B$80</c:f>
              <c:numCache>
                <c:formatCode>General</c:formatCode>
                <c:ptCount val="10"/>
                <c:pt idx="0">
                  <c:v>0.17699999999999999</c:v>
                </c:pt>
                <c:pt idx="1">
                  <c:v>0.24299999999999999</c:v>
                </c:pt>
                <c:pt idx="2">
                  <c:v>0.10100000000000001</c:v>
                </c:pt>
                <c:pt idx="3">
                  <c:v>0.16700000000000001</c:v>
                </c:pt>
                <c:pt idx="4">
                  <c:v>0.114</c:v>
                </c:pt>
                <c:pt idx="5">
                  <c:v>0.155</c:v>
                </c:pt>
                <c:pt idx="6">
                  <c:v>0.17399999999999999</c:v>
                </c:pt>
                <c:pt idx="7">
                  <c:v>0.26100000000000001</c:v>
                </c:pt>
                <c:pt idx="8">
                  <c:v>0.315</c:v>
                </c:pt>
                <c:pt idx="9">
                  <c:v>0.22800000000000001</c:v>
                </c:pt>
              </c:numCache>
            </c:numRef>
          </c:val>
        </c:ser>
        <c:ser>
          <c:idx val="1"/>
          <c:order val="1"/>
          <c:tx>
            <c:strRef>
              <c:f>Sheet5!$C$68:$C$69</c:f>
              <c:strCache>
                <c:ptCount val="1"/>
                <c:pt idx="0">
                  <c:v>SEPTEMBER</c:v>
                </c:pt>
              </c:strCache>
            </c:strRef>
          </c:tx>
          <c:spPr>
            <a:solidFill>
              <a:schemeClr val="accent2"/>
            </a:solidFill>
            <a:ln>
              <a:noFill/>
            </a:ln>
            <a:effectLst/>
          </c:spPr>
          <c:invertIfNegative val="0"/>
          <c:cat>
            <c:strRef>
              <c:f>Sheet5!$A$70:$A$80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Sheet5!$C$70:$C$80</c:f>
              <c:numCache>
                <c:formatCode>General</c:formatCode>
                <c:ptCount val="10"/>
                <c:pt idx="0">
                  <c:v>0.53700000000000003</c:v>
                </c:pt>
                <c:pt idx="1">
                  <c:v>6.5000000000000002E-2</c:v>
                </c:pt>
                <c:pt idx="2">
                  <c:v>0.106</c:v>
                </c:pt>
                <c:pt idx="3">
                  <c:v>4.5999999999999999E-2</c:v>
                </c:pt>
                <c:pt idx="4">
                  <c:v>3.1E-2</c:v>
                </c:pt>
                <c:pt idx="5">
                  <c:v>0.151</c:v>
                </c:pt>
                <c:pt idx="6">
                  <c:v>0.13200000000000001</c:v>
                </c:pt>
                <c:pt idx="7">
                  <c:v>5.2999999999999999E-2</c:v>
                </c:pt>
                <c:pt idx="8">
                  <c:v>0.13400000000000001</c:v>
                </c:pt>
                <c:pt idx="9">
                  <c:v>0.11899999999999999</c:v>
                </c:pt>
              </c:numCache>
            </c:numRef>
          </c:val>
        </c:ser>
        <c:dLbls>
          <c:showLegendKey val="0"/>
          <c:showVal val="0"/>
          <c:showCatName val="0"/>
          <c:showSerName val="0"/>
          <c:showPercent val="0"/>
          <c:showBubbleSize val="0"/>
        </c:dLbls>
        <c:gapWidth val="219"/>
        <c:overlap val="-27"/>
        <c:axId val="281445544"/>
        <c:axId val="281445152"/>
      </c:barChart>
      <c:catAx>
        <c:axId val="281445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45152"/>
        <c:crosses val="autoZero"/>
        <c:auto val="1"/>
        <c:lblAlgn val="ctr"/>
        <c:lblOffset val="100"/>
        <c:noMultiLvlLbl val="0"/>
      </c:catAx>
      <c:valAx>
        <c:axId val="28144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45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ABUNDANCE!PivotTable6</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OVERALL ABUNDANCE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'SPECIE ABUNDANCE'!$B$24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'SPECIE ABUNDANCE'!$A$25:$A$33</c:f>
              <c:strCache>
                <c:ptCount val="8"/>
                <c:pt idx="0">
                  <c:v>Bacillariophyta</c:v>
                </c:pt>
                <c:pt idx="1">
                  <c:v>Chlorophyta</c:v>
                </c:pt>
                <c:pt idx="2">
                  <c:v>Cladocera</c:v>
                </c:pt>
                <c:pt idx="3">
                  <c:v>Copepoda</c:v>
                </c:pt>
                <c:pt idx="4">
                  <c:v>Cyanophyta</c:v>
                </c:pt>
                <c:pt idx="5">
                  <c:v>Euglenophyta</c:v>
                </c:pt>
                <c:pt idx="6">
                  <c:v>Protozoa</c:v>
                </c:pt>
                <c:pt idx="7">
                  <c:v>Rotifera</c:v>
                </c:pt>
              </c:strCache>
            </c:strRef>
          </c:cat>
          <c:val>
            <c:numRef>
              <c:f>'SPECIE ABUNDANCE'!$B$25:$B$33</c:f>
              <c:numCache>
                <c:formatCode>General</c:formatCode>
                <c:ptCount val="8"/>
                <c:pt idx="0">
                  <c:v>92</c:v>
                </c:pt>
                <c:pt idx="1">
                  <c:v>68</c:v>
                </c:pt>
                <c:pt idx="2">
                  <c:v>118</c:v>
                </c:pt>
                <c:pt idx="3">
                  <c:v>107</c:v>
                </c:pt>
                <c:pt idx="4">
                  <c:v>77</c:v>
                </c:pt>
                <c:pt idx="5">
                  <c:v>44</c:v>
                </c:pt>
                <c:pt idx="6">
                  <c:v>107</c:v>
                </c:pt>
                <c:pt idx="7">
                  <c:v>269</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ABUNDANCE!PivotTable5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'SPECIE ABUNDANCE'!$A$3</c:f>
              <c:strCache>
                <c:ptCount val="1"/>
                <c:pt idx="0">
                  <c:v>Sum of JULY ABUNANCE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'SPECIE ABUNDANCE'!$A$4</c:f>
              <c:strCache>
                <c:ptCount val="1"/>
                <c:pt idx="0">
                  <c:v>Total</c:v>
                </c:pt>
              </c:strCache>
            </c:strRef>
          </c:cat>
          <c:val>
            <c:numRef>
              <c:f>'SPECIE ABUNDANCE'!$A$4</c:f>
              <c:numCache>
                <c:formatCode>General</c:formatCode>
                <c:ptCount val="1"/>
                <c:pt idx="0">
                  <c:v>259</c:v>
                </c:pt>
              </c:numCache>
            </c:numRef>
          </c:val>
        </c:ser>
        <c:ser>
          <c:idx val="1"/>
          <c:order val="1"/>
          <c:tx>
            <c:strRef>
              <c:f>'SPECIE ABUNDANCE'!$B$3</c:f>
              <c:strCache>
                <c:ptCount val="1"/>
                <c:pt idx="0">
                  <c:v>Sum of SEPTEMBER ABUNDANC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'SPECIE ABUNDANCE'!$A$4</c:f>
              <c:strCache>
                <c:ptCount val="1"/>
                <c:pt idx="0">
                  <c:v>Total</c:v>
                </c:pt>
              </c:strCache>
            </c:strRef>
          </c:cat>
          <c:val>
            <c:numRef>
              <c:f>'SPECIE ABUNDANCE'!$B$4</c:f>
              <c:numCache>
                <c:formatCode>General</c:formatCode>
                <c:ptCount val="1"/>
                <c:pt idx="0">
                  <c:v>317</c:v>
                </c:pt>
              </c:numCache>
            </c:numRef>
          </c:val>
        </c:ser>
        <c:ser>
          <c:idx val="2"/>
          <c:order val="2"/>
          <c:tx>
            <c:strRef>
              <c:f>'SPECIE ABUNDANCE'!$C$3</c:f>
              <c:strCache>
                <c:ptCount val="1"/>
                <c:pt idx="0">
                  <c:v>Sum of NOVEMBER ABUNDANCE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'SPECIE ABUNDANCE'!$A$4</c:f>
              <c:strCache>
                <c:ptCount val="1"/>
                <c:pt idx="0">
                  <c:v>Total</c:v>
                </c:pt>
              </c:strCache>
            </c:strRef>
          </c:cat>
          <c:val>
            <c:numRef>
              <c:f>'SPECIE ABUNDANCE'!$C$4</c:f>
              <c:numCache>
                <c:formatCode>General</c:formatCode>
                <c:ptCount val="1"/>
                <c:pt idx="0">
                  <c:v>306</c:v>
                </c:pt>
              </c:numCache>
            </c:numRef>
          </c:val>
        </c:ser>
        <c:dLbls>
          <c:dLblPos val="outEnd"/>
          <c:showLegendKey val="0"/>
          <c:showVal val="1"/>
          <c:showCatName val="0"/>
          <c:showSerName val="0"/>
          <c:showPercent val="0"/>
          <c:showBubbleSize val="0"/>
        </c:dLbls>
        <c:gapWidth val="219"/>
        <c:overlap val="-27"/>
        <c:axId val="281447896"/>
        <c:axId val="279832664"/>
      </c:barChart>
      <c:catAx>
        <c:axId val="28144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32664"/>
        <c:crosses val="autoZero"/>
        <c:auto val="1"/>
        <c:lblAlgn val="ctr"/>
        <c:lblOffset val="100"/>
        <c:noMultiLvlLbl val="0"/>
      </c:catAx>
      <c:valAx>
        <c:axId val="279832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47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ABUNDANCE!PivotTable6</c:name>
    <c:fmtId val="11"/>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'SPECIE ABUNDANCE'!$B$24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'SPECIE ABUNDANCE'!$A$25:$A$33</c:f>
              <c:strCache>
                <c:ptCount val="8"/>
                <c:pt idx="0">
                  <c:v>Bacillariophyta</c:v>
                </c:pt>
                <c:pt idx="1">
                  <c:v>Chlorophyta</c:v>
                </c:pt>
                <c:pt idx="2">
                  <c:v>Cladocera</c:v>
                </c:pt>
                <c:pt idx="3">
                  <c:v>Copepoda</c:v>
                </c:pt>
                <c:pt idx="4">
                  <c:v>Cyanophyta</c:v>
                </c:pt>
                <c:pt idx="5">
                  <c:v>Euglenophyta</c:v>
                </c:pt>
                <c:pt idx="6">
                  <c:v>Protozoa</c:v>
                </c:pt>
                <c:pt idx="7">
                  <c:v>Rotifera</c:v>
                </c:pt>
              </c:strCache>
            </c:strRef>
          </c:cat>
          <c:val>
            <c:numRef>
              <c:f>'SPECIE ABUNDANCE'!$B$25:$B$33</c:f>
              <c:numCache>
                <c:formatCode>General</c:formatCode>
                <c:ptCount val="8"/>
                <c:pt idx="0">
                  <c:v>92</c:v>
                </c:pt>
                <c:pt idx="1">
                  <c:v>68</c:v>
                </c:pt>
                <c:pt idx="2">
                  <c:v>118</c:v>
                </c:pt>
                <c:pt idx="3">
                  <c:v>107</c:v>
                </c:pt>
                <c:pt idx="4">
                  <c:v>77</c:v>
                </c:pt>
                <c:pt idx="5">
                  <c:v>44</c:v>
                </c:pt>
                <c:pt idx="6">
                  <c:v>107</c:v>
                </c:pt>
                <c:pt idx="7">
                  <c:v>269</c:v>
                </c:pt>
              </c:numCache>
            </c:numRef>
          </c:val>
        </c:ser>
        <c:dLbls>
          <c:dLblPos val="outEnd"/>
          <c:showLegendKey val="0"/>
          <c:showVal val="1"/>
          <c:showCatName val="0"/>
          <c:showSerName val="0"/>
          <c:showPercent val="0"/>
          <c:showBubbleSize val="0"/>
        </c:dLbls>
        <c:gapWidth val="100"/>
        <c:overlap val="-24"/>
        <c:axId val="279830312"/>
        <c:axId val="279829920"/>
      </c:barChart>
      <c:catAx>
        <c:axId val="279830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29920"/>
        <c:crosses val="autoZero"/>
        <c:auto val="1"/>
        <c:lblAlgn val="ctr"/>
        <c:lblOffset val="100"/>
        <c:noMultiLvlLbl val="0"/>
      </c:catAx>
      <c:valAx>
        <c:axId val="27982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30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ABUNDANCE!PivotTable7</c:name>
    <c:fmtId val="2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'SPECIE ABUNDANCE'!$B$39</c:f>
              <c:strCache>
                <c:ptCount val="1"/>
                <c:pt idx="0">
                  <c:v>Total</c:v>
                </c:pt>
              </c:strCache>
            </c:strRef>
          </c:tx>
          <c:spPr>
            <a:solidFill>
              <a:schemeClr val="accent1"/>
            </a:solidFill>
            <a:ln>
              <a:noFill/>
            </a:ln>
            <a:effectLst/>
          </c:spPr>
          <c:invertIfNegative val="0"/>
          <c:cat>
            <c:strRef>
              <c:f>'SPECIE ABUNDANCE'!$A$40:$A$50</c:f>
              <c:strCache>
                <c:ptCount val="10"/>
                <c:pt idx="0">
                  <c:v>Actinastrum sp.</c:v>
                </c:pt>
                <c:pt idx="1">
                  <c:v>Ankistrodesmus falcatus</c:v>
                </c:pt>
                <c:pt idx="2">
                  <c:v>Aulacoseira granulata</c:v>
                </c:pt>
                <c:pt idx="3">
                  <c:v>Euglena sp.</c:v>
                </c:pt>
                <c:pt idx="4">
                  <c:v>Frustulia rhomboides</c:v>
                </c:pt>
                <c:pt idx="5">
                  <c:v>Navicula sp.</c:v>
                </c:pt>
                <c:pt idx="6">
                  <c:v>Nitzschia palae</c:v>
                </c:pt>
                <c:pt idx="7">
                  <c:v>Oscillatoria bornettia</c:v>
                </c:pt>
                <c:pt idx="8">
                  <c:v>Oscillatoria granulata</c:v>
                </c:pt>
                <c:pt idx="9">
                  <c:v>Trachelomonas sp.</c:v>
                </c:pt>
              </c:strCache>
            </c:strRef>
          </c:cat>
          <c:val>
            <c:numRef>
              <c:f>'SPECIE ABUNDANCE'!$B$40:$B$50</c:f>
              <c:numCache>
                <c:formatCode>General</c:formatCode>
                <c:ptCount val="10"/>
                <c:pt idx="0">
                  <c:v>9</c:v>
                </c:pt>
                <c:pt idx="1">
                  <c:v>8</c:v>
                </c:pt>
                <c:pt idx="2">
                  <c:v>20</c:v>
                </c:pt>
                <c:pt idx="3">
                  <c:v>8</c:v>
                </c:pt>
                <c:pt idx="4">
                  <c:v>8</c:v>
                </c:pt>
                <c:pt idx="5">
                  <c:v>8</c:v>
                </c:pt>
                <c:pt idx="6">
                  <c:v>8</c:v>
                </c:pt>
                <c:pt idx="7">
                  <c:v>16</c:v>
                </c:pt>
                <c:pt idx="8">
                  <c:v>8</c:v>
                </c:pt>
                <c:pt idx="9">
                  <c:v>10</c:v>
                </c:pt>
              </c:numCache>
            </c:numRef>
          </c:val>
        </c:ser>
        <c:dLbls>
          <c:showLegendKey val="0"/>
          <c:showVal val="0"/>
          <c:showCatName val="0"/>
          <c:showSerName val="0"/>
          <c:showPercent val="0"/>
          <c:showBubbleSize val="0"/>
        </c:dLbls>
        <c:gapWidth val="182"/>
        <c:axId val="279830704"/>
        <c:axId val="279831096"/>
      </c:barChart>
      <c:catAx>
        <c:axId val="27983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31096"/>
        <c:crosses val="autoZero"/>
        <c:auto val="1"/>
        <c:lblAlgn val="ctr"/>
        <c:lblOffset val="100"/>
        <c:noMultiLvlLbl val="0"/>
      </c:catAx>
      <c:valAx>
        <c:axId val="279831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30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ABUNDANCE!PivotTable8</c:name>
    <c:fmtId val="16"/>
  </c:pivotSource>
  <c:chart>
    <c:title>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'SPECIE ABUNDANCE'!$B$55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'SPECIE ABUNDANCE'!$A$56:$A$72</c:f>
              <c:strCache>
                <c:ptCount val="16"/>
                <c:pt idx="0">
                  <c:v>Asplanchna brightwelli</c:v>
                </c:pt>
                <c:pt idx="1">
                  <c:v>Asplanchna priodonta</c:v>
                </c:pt>
                <c:pt idx="2">
                  <c:v>Colurella sp.</c:v>
                </c:pt>
                <c:pt idx="3">
                  <c:v>Copepoda sp.1</c:v>
                </c:pt>
                <c:pt idx="4">
                  <c:v>Cyclops strenuus</c:v>
                </c:pt>
                <c:pt idx="5">
                  <c:v>Daphnia longispina</c:v>
                </c:pt>
                <c:pt idx="6">
                  <c:v>Daphnia pulex</c:v>
                </c:pt>
                <c:pt idx="7">
                  <c:v>Diaptomus gracilis</c:v>
                </c:pt>
                <c:pt idx="8">
                  <c:v>Diaptomus sp.</c:v>
                </c:pt>
                <c:pt idx="9">
                  <c:v>Euglena gracilis</c:v>
                </c:pt>
                <c:pt idx="10">
                  <c:v>Filinia pejleri</c:v>
                </c:pt>
                <c:pt idx="11">
                  <c:v>Keratella quadrata</c:v>
                </c:pt>
                <c:pt idx="12">
                  <c:v>Mesocyclops leuckarti</c:v>
                </c:pt>
                <c:pt idx="13">
                  <c:v>Moina micrura</c:v>
                </c:pt>
                <c:pt idx="14">
                  <c:v>Protozoa sp.2</c:v>
                </c:pt>
                <c:pt idx="15">
                  <c:v>Rotaria rotatoria</c:v>
                </c:pt>
              </c:strCache>
            </c:strRef>
          </c:cat>
          <c:val>
            <c:numRef>
              <c:f>'SPECIE ABUNDANCE'!$B$56:$B$72</c:f>
              <c:numCache>
                <c:formatCode>General</c:formatCode>
                <c:ptCount val="16"/>
                <c:pt idx="0">
                  <c:v>14</c:v>
                </c:pt>
                <c:pt idx="1">
                  <c:v>14</c:v>
                </c:pt>
                <c:pt idx="2">
                  <c:v>14</c:v>
                </c:pt>
                <c:pt idx="3">
                  <c:v>14</c:v>
                </c:pt>
                <c:pt idx="4">
                  <c:v>15</c:v>
                </c:pt>
                <c:pt idx="5">
                  <c:v>14</c:v>
                </c:pt>
                <c:pt idx="6">
                  <c:v>14</c:v>
                </c:pt>
                <c:pt idx="7">
                  <c:v>15</c:v>
                </c:pt>
                <c:pt idx="8">
                  <c:v>15</c:v>
                </c:pt>
                <c:pt idx="9">
                  <c:v>14</c:v>
                </c:pt>
                <c:pt idx="10">
                  <c:v>14</c:v>
                </c:pt>
                <c:pt idx="11">
                  <c:v>15</c:v>
                </c:pt>
                <c:pt idx="12">
                  <c:v>15</c:v>
                </c:pt>
                <c:pt idx="13">
                  <c:v>14</c:v>
                </c:pt>
                <c:pt idx="14">
                  <c:v>15</c:v>
                </c:pt>
                <c:pt idx="15">
                  <c:v>14</c:v>
                </c:pt>
              </c:numCache>
            </c:numRef>
          </c:val>
        </c:ser>
        <c:dLbls>
          <c:dLblPos val="outEnd"/>
          <c:showLegendKey val="0"/>
          <c:showVal val="1"/>
          <c:showCatName val="0"/>
          <c:showSerName val="0"/>
          <c:showPercent val="0"/>
          <c:showBubbleSize val="0"/>
        </c:dLbls>
        <c:gapWidth val="444"/>
        <c:overlap val="-90"/>
        <c:axId val="279832272"/>
        <c:axId val="279833448"/>
      </c:barChart>
      <c:catAx>
        <c:axId val="27983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833448"/>
        <c:crosses val="autoZero"/>
        <c:auto val="1"/>
        <c:lblAlgn val="ctr"/>
        <c:lblOffset val="100"/>
        <c:noMultiLvlLbl val="0"/>
      </c:catAx>
      <c:valAx>
        <c:axId val="279833448"/>
        <c:scaling>
          <c:orientation val="minMax"/>
        </c:scaling>
        <c:delete val="1"/>
        <c:axPos val="l"/>
        <c:numFmt formatCode="General" sourceLinked="1"/>
        <c:majorTickMark val="none"/>
        <c:minorTickMark val="none"/>
        <c:tickLblPos val="nextTo"/>
        <c:crossAx val="279832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ABUNDANCE!PivotTable6</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'SPECIE ABUNDANCE'!$B$24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'SPECIE ABUNDANCE'!$A$25:$A$33</c:f>
              <c:strCache>
                <c:ptCount val="8"/>
                <c:pt idx="0">
                  <c:v>Bacillariophyta</c:v>
                </c:pt>
                <c:pt idx="1">
                  <c:v>Chlorophyta</c:v>
                </c:pt>
                <c:pt idx="2">
                  <c:v>Cladocera</c:v>
                </c:pt>
                <c:pt idx="3">
                  <c:v>Copepoda</c:v>
                </c:pt>
                <c:pt idx="4">
                  <c:v>Cyanophyta</c:v>
                </c:pt>
                <c:pt idx="5">
                  <c:v>Euglenophyta</c:v>
                </c:pt>
                <c:pt idx="6">
                  <c:v>Protozoa</c:v>
                </c:pt>
                <c:pt idx="7">
                  <c:v>Rotifera</c:v>
                </c:pt>
              </c:strCache>
            </c:strRef>
          </c:cat>
          <c:val>
            <c:numRef>
              <c:f>'SPECIE ABUNDANCE'!$B$25:$B$33</c:f>
              <c:numCache>
                <c:formatCode>General</c:formatCode>
                <c:ptCount val="8"/>
                <c:pt idx="0">
                  <c:v>92</c:v>
                </c:pt>
                <c:pt idx="1">
                  <c:v>68</c:v>
                </c:pt>
                <c:pt idx="2">
                  <c:v>118</c:v>
                </c:pt>
                <c:pt idx="3">
                  <c:v>107</c:v>
                </c:pt>
                <c:pt idx="4">
                  <c:v>77</c:v>
                </c:pt>
                <c:pt idx="5">
                  <c:v>44</c:v>
                </c:pt>
                <c:pt idx="6">
                  <c:v>107</c:v>
                </c:pt>
                <c:pt idx="7">
                  <c:v>269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work.xlsx]Sheet5!PivotTable1</c:name>
    <c:fmtId val="0"/>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JULY</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Sheet5!$A$5:$A$15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Sheet5!$B$5:$B$15</c:f>
              <c:numCache>
                <c:formatCode>General</c:formatCode>
                <c:ptCount val="10"/>
                <c:pt idx="0">
                  <c:v>7.2</c:v>
                </c:pt>
                <c:pt idx="1">
                  <c:v>7</c:v>
                </c:pt>
                <c:pt idx="2">
                  <c:v>6.8</c:v>
                </c:pt>
                <c:pt idx="3">
                  <c:v>6.7</c:v>
                </c:pt>
                <c:pt idx="4">
                  <c:v>6.6</c:v>
                </c:pt>
                <c:pt idx="5">
                  <c:v>6.5</c:v>
                </c:pt>
                <c:pt idx="6">
                  <c:v>6.4</c:v>
                </c:pt>
                <c:pt idx="7">
                  <c:v>6.2</c:v>
                </c:pt>
                <c:pt idx="8">
                  <c:v>6.1</c:v>
                </c:pt>
                <c:pt idx="9">
                  <c:v>6.1</c:v>
                </c:pt>
              </c:numCache>
            </c:numRef>
          </c:val>
          <c:smooth val="0"/>
        </c:ser>
        <c:ser>
          <c:idx val="1"/>
          <c:order val="1"/>
          <c:tx>
            <c:strRef>
              <c:f>Sheet5!$C$3:$C$4</c:f>
              <c:strCache>
                <c:ptCount val="1"/>
                <c:pt idx="0">
                  <c:v>SEPTEMBER</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Sheet5!$A$5:$A$15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Sheet5!$C$5:$C$15</c:f>
              <c:numCache>
                <c:formatCode>General</c:formatCode>
                <c:ptCount val="10"/>
                <c:pt idx="0">
                  <c:v>7.4</c:v>
                </c:pt>
                <c:pt idx="1">
                  <c:v>7.2</c:v>
                </c:pt>
                <c:pt idx="2">
                  <c:v>7</c:v>
                </c:pt>
                <c:pt idx="3">
                  <c:v>6.9</c:v>
                </c:pt>
                <c:pt idx="4">
                  <c:v>6.8</c:v>
                </c:pt>
                <c:pt idx="5">
                  <c:v>6.7</c:v>
                </c:pt>
                <c:pt idx="6">
                  <c:v>6.5</c:v>
                </c:pt>
                <c:pt idx="7">
                  <c:v>6.4</c:v>
                </c:pt>
                <c:pt idx="8">
                  <c:v>6.3</c:v>
                </c:pt>
                <c:pt idx="9">
                  <c:v>6.2</c:v>
                </c:pt>
              </c:numCache>
            </c:numRef>
          </c:val>
          <c:smooth val="0"/>
        </c:ser>
        <c:dLbls>
          <c:showLegendKey val="0"/>
          <c:showVal val="0"/>
          <c:showCatName val="0"/>
          <c:showSerName val="0"/>
          <c:showPercent val="0"/>
          <c:showBubbleSize val="0"/>
        </c:dLbls>
        <c:marker val="1"/>
        <c:smooth val="0"/>
        <c:axId val="282498176"/>
        <c:axId val="282499352"/>
      </c:lineChart>
      <c:catAx>
        <c:axId val="28249817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82499352"/>
        <c:crosses val="autoZero"/>
        <c:auto val="1"/>
        <c:lblAlgn val="ctr"/>
        <c:lblOffset val="100"/>
        <c:noMultiLvlLbl val="0"/>
      </c:catAx>
      <c:valAx>
        <c:axId val="28249935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8249817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work.xlsx]Sheet5!PivotTable2</c:name>
    <c:fmtId val="3"/>
  </c:pivotSource>
  <c:chart>
    <c:autoTitleDeleted val="0"/>
    <c:pivotFmts>
      <c:pivotFmt>
        <c:idx val="0"/>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2"/>
            </a:solidFill>
            <a:ln w="9525">
              <a:solidFill>
                <a:schemeClr val="accent2"/>
              </a:solidFill>
              <a:round/>
            </a:ln>
            <a:effectLst/>
          </c:spPr>
        </c:marker>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lineChart>
        <c:grouping val="standard"/>
        <c:varyColors val="0"/>
        <c:ser>
          <c:idx val="0"/>
          <c:order val="0"/>
          <c:tx>
            <c:strRef>
              <c:f>Sheet5!$B$20:$B$21</c:f>
              <c:strCache>
                <c:ptCount val="1"/>
                <c:pt idx="0">
                  <c:v>JULY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Sheet5!$A$22:$A$32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Sheet5!$B$22:$B$32</c:f>
              <c:numCache>
                <c:formatCode>General</c:formatCode>
                <c:ptCount val="10"/>
                <c:pt idx="0">
                  <c:v>32.4</c:v>
                </c:pt>
                <c:pt idx="1">
                  <c:v>38.9</c:v>
                </c:pt>
                <c:pt idx="2">
                  <c:v>41.2</c:v>
                </c:pt>
                <c:pt idx="3">
                  <c:v>45.6</c:v>
                </c:pt>
                <c:pt idx="4">
                  <c:v>49.8</c:v>
                </c:pt>
                <c:pt idx="5">
                  <c:v>52.4</c:v>
                </c:pt>
                <c:pt idx="6">
                  <c:v>56.7</c:v>
                </c:pt>
                <c:pt idx="7">
                  <c:v>60.3</c:v>
                </c:pt>
                <c:pt idx="8">
                  <c:v>62.5</c:v>
                </c:pt>
                <c:pt idx="9">
                  <c:v>65.3</c:v>
                </c:pt>
              </c:numCache>
            </c:numRef>
          </c:val>
          <c:smooth val="0"/>
        </c:ser>
        <c:ser>
          <c:idx val="1"/>
          <c:order val="1"/>
          <c:tx>
            <c:strRef>
              <c:f>Sheet5!$C$20:$C$21</c:f>
              <c:strCache>
                <c:ptCount val="1"/>
                <c:pt idx="0">
                  <c:v>SEPTEMBER</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Sheet5!$A$22:$A$32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Sheet5!$C$22:$C$32</c:f>
              <c:numCache>
                <c:formatCode>General</c:formatCode>
                <c:ptCount val="10"/>
                <c:pt idx="0">
                  <c:v>8.1999999999999993</c:v>
                </c:pt>
                <c:pt idx="1">
                  <c:v>7.9</c:v>
                </c:pt>
                <c:pt idx="2">
                  <c:v>7.5</c:v>
                </c:pt>
                <c:pt idx="3">
                  <c:v>7.1</c:v>
                </c:pt>
                <c:pt idx="4">
                  <c:v>6.8</c:v>
                </c:pt>
                <c:pt idx="5">
                  <c:v>6.4</c:v>
                </c:pt>
                <c:pt idx="6">
                  <c:v>6</c:v>
                </c:pt>
                <c:pt idx="7">
                  <c:v>5.7</c:v>
                </c:pt>
                <c:pt idx="8">
                  <c:v>5.3</c:v>
                </c:pt>
                <c:pt idx="9">
                  <c:v>5</c:v>
                </c:pt>
              </c:numCache>
            </c:numRef>
          </c:val>
          <c:smooth val="0"/>
        </c:ser>
        <c:dLbls>
          <c:showLegendKey val="0"/>
          <c:showVal val="0"/>
          <c:showCatName val="0"/>
          <c:showSerName val="0"/>
          <c:showPercent val="0"/>
          <c:showBubbleSize val="0"/>
        </c:dLbls>
        <c:marker val="1"/>
        <c:smooth val="0"/>
        <c:axId val="282500920"/>
        <c:axId val="282497392"/>
      </c:lineChart>
      <c:catAx>
        <c:axId val="282500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2497392"/>
        <c:crosses val="autoZero"/>
        <c:auto val="1"/>
        <c:lblAlgn val="ctr"/>
        <c:lblOffset val="100"/>
        <c:noMultiLvlLbl val="0"/>
      </c:catAx>
      <c:valAx>
        <c:axId val="28249739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00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Sheet5!$B$36:$B$37</c:f>
              <c:strCache>
                <c:ptCount val="1"/>
                <c:pt idx="0">
                  <c:v>JULY</c:v>
                </c:pt>
              </c:strCache>
            </c:strRef>
          </c:tx>
          <c:spPr>
            <a:solidFill>
              <a:schemeClr val="accent1"/>
            </a:solidFill>
            <a:ln>
              <a:noFill/>
            </a:ln>
            <a:effectLst/>
          </c:spPr>
          <c:invertIfNegative val="0"/>
          <c:cat>
            <c:strRef>
              <c:f>Sheet5!$A$38:$A$48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Sheet5!$B$38:$B$48</c:f>
              <c:numCache>
                <c:formatCode>General</c:formatCode>
                <c:ptCount val="10"/>
                <c:pt idx="0">
                  <c:v>28.6</c:v>
                </c:pt>
                <c:pt idx="1">
                  <c:v>45.2</c:v>
                </c:pt>
                <c:pt idx="2">
                  <c:v>52.4</c:v>
                </c:pt>
                <c:pt idx="3">
                  <c:v>60.8</c:v>
                </c:pt>
                <c:pt idx="4">
                  <c:v>72.599999999999994</c:v>
                </c:pt>
                <c:pt idx="5">
                  <c:v>88.4</c:v>
                </c:pt>
                <c:pt idx="6">
                  <c:v>96.3</c:v>
                </c:pt>
                <c:pt idx="7">
                  <c:v>108.5</c:v>
                </c:pt>
                <c:pt idx="8">
                  <c:v>116.2</c:v>
                </c:pt>
                <c:pt idx="9">
                  <c:v>124.6</c:v>
                </c:pt>
              </c:numCache>
            </c:numRef>
          </c:val>
        </c:ser>
        <c:ser>
          <c:idx val="1"/>
          <c:order val="1"/>
          <c:tx>
            <c:strRef>
              <c:f>Sheet5!$C$36:$C$37</c:f>
              <c:strCache>
                <c:ptCount val="1"/>
                <c:pt idx="0">
                  <c:v>SEPTEMBER</c:v>
                </c:pt>
              </c:strCache>
            </c:strRef>
          </c:tx>
          <c:spPr>
            <a:solidFill>
              <a:schemeClr val="accent2"/>
            </a:solidFill>
            <a:ln>
              <a:noFill/>
            </a:ln>
            <a:effectLst/>
          </c:spPr>
          <c:invertIfNegative val="0"/>
          <c:cat>
            <c:strRef>
              <c:f>Sheet5!$A$38:$A$48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Sheet5!$C$38:$C$48</c:f>
              <c:numCache>
                <c:formatCode>General</c:formatCode>
                <c:ptCount val="10"/>
                <c:pt idx="0">
                  <c:v>6.5</c:v>
                </c:pt>
                <c:pt idx="1">
                  <c:v>8.1999999999999993</c:v>
                </c:pt>
                <c:pt idx="2">
                  <c:v>10.4</c:v>
                </c:pt>
                <c:pt idx="3">
                  <c:v>12.8</c:v>
                </c:pt>
                <c:pt idx="4">
                  <c:v>15.3</c:v>
                </c:pt>
                <c:pt idx="5">
                  <c:v>18.600000000000001</c:v>
                </c:pt>
                <c:pt idx="6">
                  <c:v>22.5</c:v>
                </c:pt>
                <c:pt idx="7">
                  <c:v>26.8</c:v>
                </c:pt>
                <c:pt idx="8">
                  <c:v>30.4</c:v>
                </c:pt>
                <c:pt idx="9">
                  <c:v>34.1</c:v>
                </c:pt>
              </c:numCache>
            </c:numRef>
          </c:val>
        </c:ser>
        <c:dLbls>
          <c:showLegendKey val="0"/>
          <c:showVal val="0"/>
          <c:showCatName val="0"/>
          <c:showSerName val="0"/>
          <c:showPercent val="0"/>
          <c:showBubbleSize val="0"/>
        </c:dLbls>
        <c:gapWidth val="219"/>
        <c:overlap val="-27"/>
        <c:axId val="282499744"/>
        <c:axId val="282504448"/>
      </c:barChart>
      <c:catAx>
        <c:axId val="2824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04448"/>
        <c:crosses val="autoZero"/>
        <c:auto val="1"/>
        <c:lblAlgn val="ctr"/>
        <c:lblOffset val="100"/>
        <c:noMultiLvlLbl val="0"/>
      </c:catAx>
      <c:valAx>
        <c:axId val="28250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9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Sheet5!$B$53:$B$54</c:f>
              <c:strCache>
                <c:ptCount val="1"/>
                <c:pt idx="0">
                  <c:v>JULY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Sheet5!$A$55:$A$65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Sheet5!$B$55:$B$65</c:f>
              <c:numCache>
                <c:formatCode>General</c:formatCode>
                <c:ptCount val="10"/>
                <c:pt idx="0">
                  <c:v>7</c:v>
                </c:pt>
                <c:pt idx="1">
                  <c:v>8</c:v>
                </c:pt>
                <c:pt idx="2">
                  <c:v>4</c:v>
                </c:pt>
                <c:pt idx="3">
                  <c:v>7</c:v>
                </c:pt>
                <c:pt idx="4">
                  <c:v>11</c:v>
                </c:pt>
                <c:pt idx="5">
                  <c:v>5</c:v>
                </c:pt>
                <c:pt idx="6">
                  <c:v>2</c:v>
                </c:pt>
                <c:pt idx="7">
                  <c:v>1</c:v>
                </c:pt>
                <c:pt idx="8">
                  <c:v>7</c:v>
                </c:pt>
                <c:pt idx="9">
                  <c:v>12</c:v>
                </c:pt>
              </c:numCache>
            </c:numRef>
          </c:val>
        </c:ser>
        <c:ser>
          <c:idx val="1"/>
          <c:order val="1"/>
          <c:tx>
            <c:strRef>
              <c:f>Sheet5!$C$53:$C$54</c:f>
              <c:strCache>
                <c:ptCount val="1"/>
                <c:pt idx="0">
                  <c:v>SEPTEMBER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Sheet5!$A$55:$A$65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Sheet5!$C$55:$C$65</c:f>
              <c:numCache>
                <c:formatCode>General</c:formatCode>
                <c:ptCount val="10"/>
                <c:pt idx="0">
                  <c:v>12</c:v>
                </c:pt>
                <c:pt idx="1">
                  <c:v>10</c:v>
                </c:pt>
                <c:pt idx="2">
                  <c:v>7</c:v>
                </c:pt>
                <c:pt idx="3">
                  <c:v>9</c:v>
                </c:pt>
                <c:pt idx="4">
                  <c:v>10</c:v>
                </c:pt>
                <c:pt idx="5">
                  <c:v>12</c:v>
                </c:pt>
                <c:pt idx="6">
                  <c:v>7</c:v>
                </c:pt>
                <c:pt idx="7">
                  <c:v>13</c:v>
                </c:pt>
                <c:pt idx="8">
                  <c:v>10</c:v>
                </c:pt>
                <c:pt idx="9">
                  <c:v>10</c:v>
                </c:pt>
              </c:numCache>
            </c:numRef>
          </c:val>
        </c:ser>
        <c:dLbls>
          <c:showLegendKey val="0"/>
          <c:showVal val="0"/>
          <c:showCatName val="0"/>
          <c:showSerName val="0"/>
          <c:showPercent val="0"/>
          <c:showBubbleSize val="0"/>
        </c:dLbls>
        <c:gapWidth val="100"/>
        <c:overlap val="-24"/>
        <c:axId val="282497000"/>
        <c:axId val="282500528"/>
      </c:barChart>
      <c:catAx>
        <c:axId val="282497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00528"/>
        <c:crosses val="autoZero"/>
        <c:auto val="1"/>
        <c:lblAlgn val="ctr"/>
        <c:lblOffset val="100"/>
        <c:noMultiLvlLbl val="0"/>
      </c:catAx>
      <c:valAx>
        <c:axId val="2825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97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work.xlsx]Sheet5!PivotTable5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Sheet5!$B$68:$B$69</c:f>
              <c:strCache>
                <c:ptCount val="1"/>
                <c:pt idx="0">
                  <c:v>JULY</c:v>
                </c:pt>
              </c:strCache>
            </c:strRef>
          </c:tx>
          <c:spPr>
            <a:solidFill>
              <a:schemeClr val="accent1"/>
            </a:solidFill>
            <a:ln>
              <a:noFill/>
            </a:ln>
            <a:effectLst/>
          </c:spPr>
          <c:invertIfNegative val="0"/>
          <c:cat>
            <c:strRef>
              <c:f>Sheet5!$A$70:$A$80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Sheet5!$B$70:$B$80</c:f>
              <c:numCache>
                <c:formatCode>General</c:formatCode>
                <c:ptCount val="10"/>
                <c:pt idx="0">
                  <c:v>0.17699999999999999</c:v>
                </c:pt>
                <c:pt idx="1">
                  <c:v>0.24299999999999999</c:v>
                </c:pt>
                <c:pt idx="2">
                  <c:v>0.10100000000000001</c:v>
                </c:pt>
                <c:pt idx="3">
                  <c:v>0.16700000000000001</c:v>
                </c:pt>
                <c:pt idx="4">
                  <c:v>0.114</c:v>
                </c:pt>
                <c:pt idx="5">
                  <c:v>0.155</c:v>
                </c:pt>
                <c:pt idx="6">
                  <c:v>0.17399999999999999</c:v>
                </c:pt>
                <c:pt idx="7">
                  <c:v>0.26100000000000001</c:v>
                </c:pt>
                <c:pt idx="8">
                  <c:v>0.315</c:v>
                </c:pt>
                <c:pt idx="9">
                  <c:v>0.22800000000000001</c:v>
                </c:pt>
              </c:numCache>
            </c:numRef>
          </c:val>
        </c:ser>
        <c:ser>
          <c:idx val="1"/>
          <c:order val="1"/>
          <c:tx>
            <c:strRef>
              <c:f>Sheet5!$C$68:$C$69</c:f>
              <c:strCache>
                <c:ptCount val="1"/>
                <c:pt idx="0">
                  <c:v>SEPTEMBER</c:v>
                </c:pt>
              </c:strCache>
            </c:strRef>
          </c:tx>
          <c:spPr>
            <a:solidFill>
              <a:schemeClr val="accent2"/>
            </a:solidFill>
            <a:ln>
              <a:noFill/>
            </a:ln>
            <a:effectLst/>
          </c:spPr>
          <c:invertIfNegative val="0"/>
          <c:cat>
            <c:strRef>
              <c:f>Sheet5!$A$70:$A$80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Sheet5!$C$70:$C$80</c:f>
              <c:numCache>
                <c:formatCode>General</c:formatCode>
                <c:ptCount val="10"/>
                <c:pt idx="0">
                  <c:v>0.53700000000000003</c:v>
                </c:pt>
                <c:pt idx="1">
                  <c:v>6.5000000000000002E-2</c:v>
                </c:pt>
                <c:pt idx="2">
                  <c:v>0.106</c:v>
                </c:pt>
                <c:pt idx="3">
                  <c:v>4.5999999999999999E-2</c:v>
                </c:pt>
                <c:pt idx="4">
                  <c:v>3.1E-2</c:v>
                </c:pt>
                <c:pt idx="5">
                  <c:v>0.151</c:v>
                </c:pt>
                <c:pt idx="6">
                  <c:v>0.13200000000000001</c:v>
                </c:pt>
                <c:pt idx="7">
                  <c:v>5.2999999999999999E-2</c:v>
                </c:pt>
                <c:pt idx="8">
                  <c:v>0.13400000000000001</c:v>
                </c:pt>
                <c:pt idx="9">
                  <c:v>0.11899999999999999</c:v>
                </c:pt>
              </c:numCache>
            </c:numRef>
          </c:val>
        </c:ser>
        <c:dLbls>
          <c:showLegendKey val="0"/>
          <c:showVal val="0"/>
          <c:showCatName val="0"/>
          <c:showSerName val="0"/>
          <c:showPercent val="0"/>
          <c:showBubbleSize val="0"/>
        </c:dLbls>
        <c:gapWidth val="219"/>
        <c:overlap val="-27"/>
        <c:axId val="282498960"/>
        <c:axId val="282500136"/>
      </c:barChart>
      <c:catAx>
        <c:axId val="28249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00136"/>
        <c:crosses val="autoZero"/>
        <c:auto val="1"/>
        <c:lblAlgn val="ctr"/>
        <c:lblOffset val="100"/>
        <c:noMultiLvlLbl val="0"/>
      </c:catAx>
      <c:valAx>
        <c:axId val="282500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work.xlsx]physiochemical and heavy metals!PivotTable1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1858744929611E-2"/>
          <c:y val="9.1954022988505746E-2"/>
          <c:w val="0.5220267239322357"/>
          <c:h val="0.80345823151416418"/>
        </c:manualLayout>
      </c:layout>
      <c:barChart>
        <c:barDir val="col"/>
        <c:grouping val="clustered"/>
        <c:varyColors val="0"/>
        <c:ser>
          <c:idx val="0"/>
          <c:order val="0"/>
          <c:tx>
            <c:strRef>
              <c:f>'physiochemical and heavy metals'!$B$3</c:f>
              <c:strCache>
                <c:ptCount val="1"/>
                <c:pt idx="0">
                  <c:v>Sum of pH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metals'!$B$4:$B$7</c:f>
              <c:numCache>
                <c:formatCode>General</c:formatCode>
                <c:ptCount val="3"/>
                <c:pt idx="0">
                  <c:v>65.599999999999994</c:v>
                </c:pt>
                <c:pt idx="1">
                  <c:v>67.399999999999991</c:v>
                </c:pt>
                <c:pt idx="2">
                  <c:v>65.8</c:v>
                </c:pt>
              </c:numCache>
            </c:numRef>
          </c:val>
        </c:ser>
        <c:ser>
          <c:idx val="1"/>
          <c:order val="1"/>
          <c:tx>
            <c:strRef>
              <c:f>'physiochemical and heavy metals'!$C$3</c:f>
              <c:strCache>
                <c:ptCount val="1"/>
                <c:pt idx="0">
                  <c:v>Sum of Temperature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metals'!$C$4:$C$7</c:f>
              <c:numCache>
                <c:formatCode>General</c:formatCode>
                <c:ptCount val="3"/>
                <c:pt idx="0">
                  <c:v>277.60000000000002</c:v>
                </c:pt>
                <c:pt idx="1">
                  <c:v>269.10000000000002</c:v>
                </c:pt>
                <c:pt idx="2">
                  <c:v>275.2</c:v>
                </c:pt>
              </c:numCache>
            </c:numRef>
          </c:val>
        </c:ser>
        <c:ser>
          <c:idx val="2"/>
          <c:order val="2"/>
          <c:tx>
            <c:strRef>
              <c:f>'physiochemical and heavy metals'!$D$3</c:f>
              <c:strCache>
                <c:ptCount val="1"/>
                <c:pt idx="0">
                  <c:v>Sum of Dissolved Oxygen (DO)</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metals'!$D$4:$D$7</c:f>
              <c:numCache>
                <c:formatCode>General</c:formatCode>
                <c:ptCount val="3"/>
                <c:pt idx="0">
                  <c:v>505.09999999999997</c:v>
                </c:pt>
                <c:pt idx="1">
                  <c:v>65.900000000000006</c:v>
                </c:pt>
                <c:pt idx="2">
                  <c:v>60.999999999999993</c:v>
                </c:pt>
              </c:numCache>
            </c:numRef>
          </c:val>
        </c:ser>
        <c:ser>
          <c:idx val="3"/>
          <c:order val="3"/>
          <c:tx>
            <c:strRef>
              <c:f>'physiochemical and heavy metals'!$E$3</c:f>
              <c:strCache>
                <c:ptCount val="1"/>
                <c:pt idx="0">
                  <c:v>Sum of Biochemical Oxygen Demand (BOD)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metals'!$E$4:$E$7</c:f>
              <c:numCache>
                <c:formatCode>General</c:formatCode>
                <c:ptCount val="3"/>
                <c:pt idx="0">
                  <c:v>793.6</c:v>
                </c:pt>
                <c:pt idx="1">
                  <c:v>185.6</c:v>
                </c:pt>
                <c:pt idx="2">
                  <c:v>292.49999999999994</c:v>
                </c:pt>
              </c:numCache>
            </c:numRef>
          </c:val>
        </c:ser>
        <c:ser>
          <c:idx val="4"/>
          <c:order val="4"/>
          <c:tx>
            <c:strRef>
              <c:f>'physiochemical and heavy metals'!$F$3</c:f>
              <c:strCache>
                <c:ptCount val="1"/>
                <c:pt idx="0">
                  <c:v>Sum of Turbidity</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metals'!$F$4:$F$7</c:f>
              <c:numCache>
                <c:formatCode>General</c:formatCode>
                <c:ptCount val="3"/>
                <c:pt idx="0">
                  <c:v>482</c:v>
                </c:pt>
                <c:pt idx="1">
                  <c:v>420</c:v>
                </c:pt>
                <c:pt idx="2">
                  <c:v>550</c:v>
                </c:pt>
              </c:numCache>
            </c:numRef>
          </c:val>
        </c:ser>
        <c:ser>
          <c:idx val="5"/>
          <c:order val="5"/>
          <c:tx>
            <c:strRef>
              <c:f>'physiochemical and heavy metals'!$G$3</c:f>
              <c:strCache>
                <c:ptCount val="1"/>
                <c:pt idx="0">
                  <c:v>Sum of Total Suspended Solids (TSS)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metals'!$G$4:$G$7</c:f>
              <c:numCache>
                <c:formatCode>General</c:formatCode>
                <c:ptCount val="3"/>
                <c:pt idx="0">
                  <c:v>57</c:v>
                </c:pt>
                <c:pt idx="1">
                  <c:v>56.3</c:v>
                </c:pt>
                <c:pt idx="2">
                  <c:v>71.2</c:v>
                </c:pt>
              </c:numCache>
            </c:numRef>
          </c:val>
        </c:ser>
        <c:ser>
          <c:idx val="6"/>
          <c:order val="6"/>
          <c:tx>
            <c:strRef>
              <c:f>'physiochemical and heavy metals'!$H$3</c:f>
              <c:strCache>
                <c:ptCount val="1"/>
                <c:pt idx="0">
                  <c:v>Sum of Electrical Conductivity (EC)</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metals'!$H$4:$H$7</c:f>
              <c:numCache>
                <c:formatCode>General</c:formatCode>
                <c:ptCount val="3"/>
                <c:pt idx="0">
                  <c:v>6220</c:v>
                </c:pt>
                <c:pt idx="1">
                  <c:v>5490</c:v>
                </c:pt>
                <c:pt idx="2">
                  <c:v>6470</c:v>
                </c:pt>
              </c:numCache>
            </c:numRef>
          </c:val>
        </c:ser>
        <c:dLbls>
          <c:showLegendKey val="0"/>
          <c:showVal val="0"/>
          <c:showCatName val="0"/>
          <c:showSerName val="0"/>
          <c:showPercent val="0"/>
          <c:showBubbleSize val="0"/>
        </c:dLbls>
        <c:gapWidth val="315"/>
        <c:overlap val="-40"/>
        <c:axId val="282502488"/>
        <c:axId val="282502096"/>
      </c:barChart>
      <c:catAx>
        <c:axId val="282502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2502096"/>
        <c:crosses val="autoZero"/>
        <c:auto val="1"/>
        <c:lblAlgn val="ctr"/>
        <c:lblOffset val="100"/>
        <c:noMultiLvlLbl val="0"/>
      </c:catAx>
      <c:valAx>
        <c:axId val="2825020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2502488"/>
        <c:crosses val="autoZero"/>
        <c:crossBetween val="between"/>
      </c:valAx>
      <c:spPr>
        <a:noFill/>
        <a:ln>
          <a:noFill/>
        </a:ln>
        <a:effectLst/>
      </c:spPr>
    </c:plotArea>
    <c:legend>
      <c:legendPos val="r"/>
      <c:layout>
        <c:manualLayout>
          <c:xMode val="edge"/>
          <c:yMode val="edge"/>
          <c:x val="0.6415538616183617"/>
          <c:y val="0.16117186740546321"/>
          <c:w val="0.33007734405539735"/>
          <c:h val="0.81345824827452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work.xlsx]physiochemical and heavy metals!PivotTable2</c:name>
    <c:fmtId val="3"/>
  </c:pivotSource>
  <c:chart>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'physiochemical and heavy metals'!$E$25</c:f>
              <c:strCache>
                <c:ptCount val="1"/>
                <c:pt idx="0">
                  <c:v>Sum of Cu (mg/L)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metals'!$E$26:$E$29</c:f>
              <c:numCache>
                <c:formatCode>General</c:formatCode>
                <c:ptCount val="3"/>
                <c:pt idx="0">
                  <c:v>3.0500000000000003E-2</c:v>
                </c:pt>
                <c:pt idx="1">
                  <c:v>2.4E-2</c:v>
                </c:pt>
                <c:pt idx="2">
                  <c:v>2.9000000000000001E-2</c:v>
                </c:pt>
              </c:numCache>
            </c:numRef>
          </c:val>
        </c:ser>
        <c:ser>
          <c:idx val="1"/>
          <c:order val="1"/>
          <c:tx>
            <c:strRef>
              <c:f>'physiochemical and heavy metals'!$F$25</c:f>
              <c:strCache>
                <c:ptCount val="1"/>
                <c:pt idx="0">
                  <c:v>Sum of Cr (mg/L)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metals'!$F$26:$F$29</c:f>
              <c:numCache>
                <c:formatCode>General</c:formatCode>
                <c:ptCount val="3"/>
                <c:pt idx="0">
                  <c:v>5.000000000000001E-3</c:v>
                </c:pt>
                <c:pt idx="1">
                  <c:v>5.000000000000001E-3</c:v>
                </c:pt>
                <c:pt idx="2">
                  <c:v>5.000000000000001E-3</c:v>
                </c:pt>
              </c:numCache>
            </c:numRef>
          </c:val>
        </c:ser>
        <c:ser>
          <c:idx val="2"/>
          <c:order val="2"/>
          <c:tx>
            <c:strRef>
              <c:f>'physiochemical and heavy metals'!$G$25</c:f>
              <c:strCache>
                <c:ptCount val="1"/>
                <c:pt idx="0">
                  <c:v>Sum of Mn (mg/L)</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metals'!$G$26:$G$29</c:f>
              <c:numCache>
                <c:formatCode>General</c:formatCode>
                <c:ptCount val="3"/>
                <c:pt idx="0">
                  <c:v>1.9349999999999998</c:v>
                </c:pt>
                <c:pt idx="1">
                  <c:v>1.3739999999999999</c:v>
                </c:pt>
                <c:pt idx="2">
                  <c:v>1.853</c:v>
                </c:pt>
              </c:numCache>
            </c:numRef>
          </c:val>
        </c:ser>
        <c:ser>
          <c:idx val="3"/>
          <c:order val="3"/>
          <c:tx>
            <c:strRef>
              <c:f>'physiochemical and heavy metals'!$H$25</c:f>
              <c:strCache>
                <c:ptCount val="1"/>
                <c:pt idx="0">
                  <c:v>Sum of Ni (mg/L)</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metals'!$H$26:$H$29</c:f>
              <c:numCache>
                <c:formatCode>General</c:formatCode>
                <c:ptCount val="3"/>
                <c:pt idx="0">
                  <c:v>0.16800000000000004</c:v>
                </c:pt>
                <c:pt idx="1">
                  <c:v>3.7499999999999999E-2</c:v>
                </c:pt>
                <c:pt idx="2">
                  <c:v>0.11599999999999999</c:v>
                </c:pt>
              </c:numCache>
            </c:numRef>
          </c:val>
        </c:ser>
        <c:ser>
          <c:idx val="4"/>
          <c:order val="4"/>
          <c:tx>
            <c:strRef>
              <c:f>'physiochemical and heavy metals'!$I$25</c:f>
              <c:strCache>
                <c:ptCount val="1"/>
                <c:pt idx="0">
                  <c:v>Sum of Pb (mg/L)</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metals'!$I$26:$I$29</c:f>
              <c:numCache>
                <c:formatCode>General</c:formatCode>
                <c:ptCount val="3"/>
                <c:pt idx="0">
                  <c:v>5.000000000000001E-3</c:v>
                </c:pt>
                <c:pt idx="1">
                  <c:v>5.000000000000001E-3</c:v>
                </c:pt>
                <c:pt idx="2">
                  <c:v>5.000000000000001E-3</c:v>
                </c:pt>
              </c:numCache>
            </c:numRef>
          </c:val>
        </c:ser>
        <c:ser>
          <c:idx val="5"/>
          <c:order val="5"/>
          <c:tx>
            <c:strRef>
              <c:f>'physiochemical and heavy metals'!$J$25</c:f>
              <c:strCache>
                <c:ptCount val="1"/>
                <c:pt idx="0">
                  <c:v>Sum of Zn (mg/L)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metals'!$J$26:$J$29</c:f>
              <c:numCache>
                <c:formatCode>General</c:formatCode>
                <c:ptCount val="3"/>
                <c:pt idx="0">
                  <c:v>0.93900000000000006</c:v>
                </c:pt>
                <c:pt idx="1">
                  <c:v>0.34599999999999992</c:v>
                </c:pt>
                <c:pt idx="2">
                  <c:v>0.746</c:v>
                </c:pt>
              </c:numCache>
            </c:numRef>
          </c:val>
        </c:ser>
        <c:dLbls>
          <c:dLblPos val="inEnd"/>
          <c:showLegendKey val="0"/>
          <c:showVal val="1"/>
          <c:showCatName val="0"/>
          <c:showSerName val="0"/>
          <c:showPercent val="0"/>
          <c:showBubbleSize val="0"/>
        </c:dLbls>
        <c:gapWidth val="227"/>
        <c:overlap val="-48"/>
        <c:axId val="283324440"/>
        <c:axId val="283326008"/>
      </c:barChart>
      <c:catAx>
        <c:axId val="28332444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26008"/>
        <c:crosses val="autoZero"/>
        <c:auto val="1"/>
        <c:lblAlgn val="ctr"/>
        <c:lblOffset val="100"/>
        <c:noMultiLvlLbl val="0"/>
      </c:catAx>
      <c:valAx>
        <c:axId val="283326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2444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RICHNESS!PivotTable7</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RICH STATIONS IN EKPAN RIVER</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'SPECIE RICHNESS'!$B$3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'SPECIE RICHNESS'!$A$4:$A$14</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'SPECIE RICHNESS'!$B$4:$B$14</c:f>
              <c:numCache>
                <c:formatCode>General</c:formatCode>
                <c:ptCount val="10"/>
                <c:pt idx="0">
                  <c:v>7</c:v>
                </c:pt>
                <c:pt idx="1">
                  <c:v>8</c:v>
                </c:pt>
                <c:pt idx="2">
                  <c:v>4</c:v>
                </c:pt>
                <c:pt idx="3">
                  <c:v>7</c:v>
                </c:pt>
                <c:pt idx="4">
                  <c:v>11</c:v>
                </c:pt>
                <c:pt idx="5">
                  <c:v>5</c:v>
                </c:pt>
                <c:pt idx="6">
                  <c:v>2</c:v>
                </c:pt>
                <c:pt idx="7">
                  <c:v>1</c:v>
                </c:pt>
                <c:pt idx="8">
                  <c:v>7</c:v>
                </c:pt>
                <c:pt idx="9">
                  <c:v>12</c:v>
                </c:pt>
              </c:numCache>
            </c:numRef>
          </c:val>
        </c:ser>
        <c:dLbls>
          <c:showLegendKey val="0"/>
          <c:showVal val="1"/>
          <c:showCatName val="0"/>
          <c:showSerName val="0"/>
          <c:showPercent val="0"/>
          <c:showBubbleSize val="0"/>
        </c:dLbls>
        <c:gapWidth val="150"/>
        <c:shape val="box"/>
        <c:axId val="283329536"/>
        <c:axId val="283328360"/>
        <c:axId val="283279112"/>
      </c:bar3DChart>
      <c:catAx>
        <c:axId val="283329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3328360"/>
        <c:crosses val="autoZero"/>
        <c:auto val="1"/>
        <c:lblAlgn val="ctr"/>
        <c:lblOffset val="100"/>
        <c:noMultiLvlLbl val="0"/>
      </c:catAx>
      <c:valAx>
        <c:axId val="283328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3329536"/>
        <c:crosses val="autoZero"/>
        <c:crossBetween val="between"/>
      </c:valAx>
      <c:serAx>
        <c:axId val="2832791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332836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RICHNESS!PivotTable8</c:name>
    <c:fmtId val="8"/>
  </c:pivotSource>
  <c:chart>
    <c:title>
      <c:layout>
        <c:manualLayout>
          <c:xMode val="edge"/>
          <c:yMode val="edge"/>
          <c:x val="0.45036231884057965"/>
          <c:y val="0.179024496937882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'SPECIE RICHNESS'!$B$18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'SPECIE RICHNESS'!$A$19:$A$22</c:f>
              <c:strCache>
                <c:ptCount val="3"/>
                <c:pt idx="0">
                  <c:v>JULY</c:v>
                </c:pt>
                <c:pt idx="1">
                  <c:v>SEPTEMBER</c:v>
                </c:pt>
                <c:pt idx="2">
                  <c:v>NOVEMBER</c:v>
                </c:pt>
              </c:strCache>
            </c:strRef>
          </c:cat>
          <c:val>
            <c:numRef>
              <c:f>'SPECIE RICHNESS'!$B$19:$B$22</c:f>
              <c:numCache>
                <c:formatCode>General</c:formatCode>
                <c:ptCount val="3"/>
                <c:pt idx="0">
                  <c:v>64</c:v>
                </c:pt>
                <c:pt idx="1">
                  <c:v>100</c:v>
                </c:pt>
                <c:pt idx="2">
                  <c:v>117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work.xlsx]SPECIE RICHNESS!PivotTable1</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'SPECIE RICHNESS'!$B$30:$B$31</c:f>
              <c:strCache>
                <c:ptCount val="1"/>
                <c:pt idx="0">
                  <c:v>JULY</c:v>
                </c:pt>
              </c:strCache>
            </c:strRef>
          </c:tx>
          <c:spPr>
            <a:solidFill>
              <a:schemeClr val="accent1"/>
            </a:solidFill>
            <a:ln>
              <a:noFill/>
            </a:ln>
            <a:effectLst/>
          </c:spPr>
          <c:invertIfNegative val="0"/>
          <c:cat>
            <c:strRef>
              <c:f>'SPECIE RICHNESS'!$A$32:$A$42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'SPECIE RICHNESS'!$B$32:$B$42</c:f>
              <c:numCache>
                <c:formatCode>General</c:formatCode>
                <c:ptCount val="10"/>
                <c:pt idx="0">
                  <c:v>7</c:v>
                </c:pt>
                <c:pt idx="1">
                  <c:v>8</c:v>
                </c:pt>
                <c:pt idx="2">
                  <c:v>4</c:v>
                </c:pt>
                <c:pt idx="3">
                  <c:v>7</c:v>
                </c:pt>
                <c:pt idx="4">
                  <c:v>11</c:v>
                </c:pt>
                <c:pt idx="5">
                  <c:v>5</c:v>
                </c:pt>
                <c:pt idx="6">
                  <c:v>2</c:v>
                </c:pt>
                <c:pt idx="7">
                  <c:v>1</c:v>
                </c:pt>
                <c:pt idx="8">
                  <c:v>7</c:v>
                </c:pt>
                <c:pt idx="9">
                  <c:v>12</c:v>
                </c:pt>
              </c:numCache>
            </c:numRef>
          </c:val>
        </c:ser>
        <c:dLbls>
          <c:showLegendKey val="0"/>
          <c:showVal val="0"/>
          <c:showCatName val="0"/>
          <c:showSerName val="0"/>
          <c:showPercent val="0"/>
          <c:showBubbleSize val="0"/>
        </c:dLbls>
        <c:gapWidth val="219"/>
        <c:overlap val="-27"/>
        <c:axId val="283326792"/>
        <c:axId val="283329928"/>
      </c:barChart>
      <c:catAx>
        <c:axId val="28332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29928"/>
        <c:crosses val="autoZero"/>
        <c:auto val="1"/>
        <c:lblAlgn val="ctr"/>
        <c:lblOffset val="100"/>
        <c:noMultiLvlLbl val="0"/>
      </c:catAx>
      <c:valAx>
        <c:axId val="283329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26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'July2 graph'!$C$1</c:f>
              <c:strCache>
                <c:ptCount val="1"/>
                <c:pt idx="0">
                  <c:v>Total</c:v>
                </c:pt>
              </c:strCache>
            </c:strRef>
          </c:tx>
          <c:spPr>
            <a:solidFill>
              <a:schemeClr val="accent1"/>
            </a:solidFill>
            <a:ln>
              <a:noFill/>
            </a:ln>
            <a:effectLst/>
          </c:spPr>
          <c:invertIfNegative val="0"/>
          <c:cat>
            <c:strRef>
              <c:f>'July2 graph'!$B$2:$B$55</c:f>
              <c:strCache>
                <c:ptCount val="54"/>
                <c:pt idx="0">
                  <c:v>Aulacoseira granulata</c:v>
                </c:pt>
                <c:pt idx="1">
                  <c:v>Coscinodiscus sp.</c:v>
                </c:pt>
                <c:pt idx="2">
                  <c:v>Cyclotella sp.</c:v>
                </c:pt>
                <c:pt idx="3">
                  <c:v>Eunotia monodon</c:v>
                </c:pt>
                <c:pt idx="4">
                  <c:v>Eunotia sp.</c:v>
                </c:pt>
                <c:pt idx="5">
                  <c:v>Frustulia rhomboides</c:v>
                </c:pt>
                <c:pt idx="6">
                  <c:v>Navicula elegans</c:v>
                </c:pt>
                <c:pt idx="7">
                  <c:v>Navicula sp.</c:v>
                </c:pt>
                <c:pt idx="8">
                  <c:v>Navicula sp.2</c:v>
                </c:pt>
                <c:pt idx="9">
                  <c:v>Nitzschia accicularis</c:v>
                </c:pt>
                <c:pt idx="10">
                  <c:v>Nitzschia palae</c:v>
                </c:pt>
                <c:pt idx="11">
                  <c:v>Nitzschia sp. 1</c:v>
                </c:pt>
                <c:pt idx="12">
                  <c:v>Nitzschia sp. 2 </c:v>
                </c:pt>
                <c:pt idx="13">
                  <c:v>Pinnularia viridis</c:v>
                </c:pt>
                <c:pt idx="14">
                  <c:v>Pinnularia sp.</c:v>
                </c:pt>
                <c:pt idx="15">
                  <c:v>Synedra  sp.</c:v>
                </c:pt>
                <c:pt idx="16">
                  <c:v>Actinastrum sp.</c:v>
                </c:pt>
                <c:pt idx="17">
                  <c:v>Ankistrodesmus falcatus</c:v>
                </c:pt>
                <c:pt idx="18">
                  <c:v>Coelastrum microporum</c:v>
                </c:pt>
                <c:pt idx="19">
                  <c:v>Closterium acerosum</c:v>
                </c:pt>
                <c:pt idx="20">
                  <c:v>Eudorina </c:v>
                </c:pt>
                <c:pt idx="21">
                  <c:v>Eudorina sp.</c:v>
                </c:pt>
                <c:pt idx="22">
                  <c:v>Gonium sp.</c:v>
                </c:pt>
                <c:pt idx="23">
                  <c:v>Microspora  sp.</c:v>
                </c:pt>
                <c:pt idx="24">
                  <c:v>Oocystis sp.</c:v>
                </c:pt>
                <c:pt idx="25">
                  <c:v>Pandorina morum</c:v>
                </c:pt>
                <c:pt idx="26">
                  <c:v>Pandorina sp.</c:v>
                </c:pt>
                <c:pt idx="27">
                  <c:v>Pediastrum biradiatum</c:v>
                </c:pt>
                <c:pt idx="28">
                  <c:v>Pleodorina sp.</c:v>
                </c:pt>
                <c:pt idx="29">
                  <c:v>Scenedesmus quadicauda</c:v>
                </c:pt>
                <c:pt idx="30">
                  <c:v>Scenedesmus sp.</c:v>
                </c:pt>
                <c:pt idx="31">
                  <c:v>Ulothrix zonata</c:v>
                </c:pt>
                <c:pt idx="32">
                  <c:v>Lyngbya sp.</c:v>
                </c:pt>
                <c:pt idx="33">
                  <c:v>Microcystis aeruginosa</c:v>
                </c:pt>
                <c:pt idx="34">
                  <c:v>Microcystis flos-aque</c:v>
                </c:pt>
                <c:pt idx="35">
                  <c:v>Nostoc sp.</c:v>
                </c:pt>
                <c:pt idx="36">
                  <c:v>Oscillatoria bornettia</c:v>
                </c:pt>
                <c:pt idx="37">
                  <c:v>Oscillatoria curviceps</c:v>
                </c:pt>
                <c:pt idx="38">
                  <c:v>Oscillatoria granulata</c:v>
                </c:pt>
                <c:pt idx="39">
                  <c:v>Oscillatoria limosa</c:v>
                </c:pt>
                <c:pt idx="40">
                  <c:v>Oscillatoria sp.</c:v>
                </c:pt>
                <c:pt idx="41">
                  <c:v>Phormidium sp.</c:v>
                </c:pt>
                <c:pt idx="42">
                  <c:v>Scytonema sp.</c:v>
                </c:pt>
                <c:pt idx="43">
                  <c:v>Spirulina platensis</c:v>
                </c:pt>
                <c:pt idx="44">
                  <c:v>Euglena oxyuris</c:v>
                </c:pt>
                <c:pt idx="45">
                  <c:v>Euglena viridis</c:v>
                </c:pt>
                <c:pt idx="46">
                  <c:v>Euglena sp.</c:v>
                </c:pt>
                <c:pt idx="47">
                  <c:v>Lepocinclis ovum</c:v>
                </c:pt>
                <c:pt idx="48">
                  <c:v>Lepocinclis sp.</c:v>
                </c:pt>
                <c:pt idx="49">
                  <c:v>Phacus curvicauda</c:v>
                </c:pt>
                <c:pt idx="50">
                  <c:v>Phacus sp.</c:v>
                </c:pt>
                <c:pt idx="51">
                  <c:v>Strombomonas sp.</c:v>
                </c:pt>
                <c:pt idx="52">
                  <c:v>Trachelomonas hispida</c:v>
                </c:pt>
                <c:pt idx="53">
                  <c:v>Trachelomonas sp.</c:v>
                </c:pt>
              </c:strCache>
            </c:strRef>
          </c:cat>
          <c:val>
            <c:numRef>
              <c:f>'July2 graph'!$C$2:$C$55</c:f>
              <c:numCache>
                <c:formatCode>General</c:formatCode>
                <c:ptCount val="54"/>
                <c:pt idx="0">
                  <c:v>6</c:v>
                </c:pt>
                <c:pt idx="1">
                  <c:v>1</c:v>
                </c:pt>
                <c:pt idx="2">
                  <c:v>1</c:v>
                </c:pt>
                <c:pt idx="3">
                  <c:v>1</c:v>
                </c:pt>
                <c:pt idx="4">
                  <c:v>1</c:v>
                </c:pt>
                <c:pt idx="5">
                  <c:v>0</c:v>
                </c:pt>
                <c:pt idx="6">
                  <c:v>1</c:v>
                </c:pt>
                <c:pt idx="7">
                  <c:v>2</c:v>
                </c:pt>
                <c:pt idx="8">
                  <c:v>0</c:v>
                </c:pt>
                <c:pt idx="9">
                  <c:v>2</c:v>
                </c:pt>
                <c:pt idx="10">
                  <c:v>2</c:v>
                </c:pt>
                <c:pt idx="11">
                  <c:v>2</c:v>
                </c:pt>
                <c:pt idx="12">
                  <c:v>1</c:v>
                </c:pt>
                <c:pt idx="13">
                  <c:v>0</c:v>
                </c:pt>
                <c:pt idx="14">
                  <c:v>1</c:v>
                </c:pt>
                <c:pt idx="15">
                  <c:v>1</c:v>
                </c:pt>
                <c:pt idx="16">
                  <c:v>1</c:v>
                </c:pt>
                <c:pt idx="17">
                  <c:v>0</c:v>
                </c:pt>
                <c:pt idx="18">
                  <c:v>1</c:v>
                </c:pt>
                <c:pt idx="19">
                  <c:v>1</c:v>
                </c:pt>
                <c:pt idx="20">
                  <c:v>0</c:v>
                </c:pt>
                <c:pt idx="21">
                  <c:v>1</c:v>
                </c:pt>
                <c:pt idx="22">
                  <c:v>0</c:v>
                </c:pt>
                <c:pt idx="23">
                  <c:v>1</c:v>
                </c:pt>
                <c:pt idx="24">
                  <c:v>1</c:v>
                </c:pt>
                <c:pt idx="25">
                  <c:v>0</c:v>
                </c:pt>
                <c:pt idx="26">
                  <c:v>1</c:v>
                </c:pt>
                <c:pt idx="27">
                  <c:v>1</c:v>
                </c:pt>
                <c:pt idx="28">
                  <c:v>1</c:v>
                </c:pt>
                <c:pt idx="29">
                  <c:v>1</c:v>
                </c:pt>
                <c:pt idx="30">
                  <c:v>0</c:v>
                </c:pt>
                <c:pt idx="31">
                  <c:v>2</c:v>
                </c:pt>
                <c:pt idx="32">
                  <c:v>1</c:v>
                </c:pt>
                <c:pt idx="33">
                  <c:v>0</c:v>
                </c:pt>
                <c:pt idx="34">
                  <c:v>0</c:v>
                </c:pt>
                <c:pt idx="35">
                  <c:v>1</c:v>
                </c:pt>
                <c:pt idx="36">
                  <c:v>5</c:v>
                </c:pt>
                <c:pt idx="37">
                  <c:v>1</c:v>
                </c:pt>
                <c:pt idx="38">
                  <c:v>5</c:v>
                </c:pt>
                <c:pt idx="39">
                  <c:v>3</c:v>
                </c:pt>
                <c:pt idx="40">
                  <c:v>4</c:v>
                </c:pt>
                <c:pt idx="41">
                  <c:v>0</c:v>
                </c:pt>
                <c:pt idx="42">
                  <c:v>1</c:v>
                </c:pt>
                <c:pt idx="43">
                  <c:v>2</c:v>
                </c:pt>
                <c:pt idx="44">
                  <c:v>0</c:v>
                </c:pt>
                <c:pt idx="45">
                  <c:v>0</c:v>
                </c:pt>
                <c:pt idx="46">
                  <c:v>2</c:v>
                </c:pt>
                <c:pt idx="47">
                  <c:v>1</c:v>
                </c:pt>
                <c:pt idx="48">
                  <c:v>0</c:v>
                </c:pt>
                <c:pt idx="49">
                  <c:v>1</c:v>
                </c:pt>
                <c:pt idx="50">
                  <c:v>0</c:v>
                </c:pt>
                <c:pt idx="51">
                  <c:v>1</c:v>
                </c:pt>
                <c:pt idx="52">
                  <c:v>0</c:v>
                </c:pt>
                <c:pt idx="53">
                  <c:v>2</c:v>
                </c:pt>
              </c:numCache>
            </c:numRef>
          </c:val>
          <c:extLst xmlns:c16r2="http://schemas.microsoft.com/office/drawing/2015/06/chart">
            <c:ext xmlns:c16="http://schemas.microsoft.com/office/drawing/2014/chart" uri="{C3380CC4-5D6E-409C-BE32-E72D297353CC}">
              <c16:uniqueId val="{00000000-C7D7-46E6-9F49-99B31256E365}"/>
            </c:ext>
          </c:extLst>
        </c:ser>
        <c:dLbls>
          <c:showLegendKey val="0"/>
          <c:showVal val="0"/>
          <c:showCatName val="0"/>
          <c:showSerName val="0"/>
          <c:showPercent val="0"/>
          <c:showBubbleSize val="0"/>
        </c:dLbls>
        <c:gapWidth val="219"/>
        <c:overlap val="-27"/>
        <c:axId val="283330712"/>
        <c:axId val="283324832"/>
      </c:barChart>
      <c:catAx>
        <c:axId val="28333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24832"/>
        <c:crosses val="autoZero"/>
        <c:auto val="1"/>
        <c:lblAlgn val="ctr"/>
        <c:lblOffset val="100"/>
        <c:noMultiLvlLbl val="0"/>
      </c:catAx>
      <c:valAx>
        <c:axId val="28332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307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'station richness'!$B$56</c:f>
              <c:strCache>
                <c:ptCount val="1"/>
                <c:pt idx="0">
                  <c:v>Phytoplankton</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'station richness'!$C$56:$L$56</c:f>
              <c:numCache>
                <c:formatCode>General</c:formatCode>
                <c:ptCount val="10"/>
                <c:pt idx="0">
                  <c:v>7</c:v>
                </c:pt>
                <c:pt idx="1">
                  <c:v>6</c:v>
                </c:pt>
                <c:pt idx="2">
                  <c:v>5</c:v>
                </c:pt>
                <c:pt idx="3">
                  <c:v>2</c:v>
                </c:pt>
                <c:pt idx="4">
                  <c:v>1</c:v>
                </c:pt>
                <c:pt idx="5">
                  <c:v>6</c:v>
                </c:pt>
                <c:pt idx="6">
                  <c:v>8</c:v>
                </c:pt>
                <c:pt idx="7">
                  <c:v>3</c:v>
                </c:pt>
                <c:pt idx="8">
                  <c:v>4</c:v>
                </c:pt>
                <c:pt idx="9">
                  <c:v>2</c:v>
                </c:pt>
              </c:numCache>
            </c:numRef>
          </c:val>
          <c:extLst xmlns:c16r2="http://schemas.microsoft.com/office/drawing/2015/06/chart">
            <c:ext xmlns:c16="http://schemas.microsoft.com/office/drawing/2014/chart" uri="{C3380CC4-5D6E-409C-BE32-E72D297353CC}">
              <c16:uniqueId val="{00000000-412A-4635-BC09-F5F88776CF90}"/>
            </c:ext>
          </c:extLst>
        </c:ser>
        <c:dLbls>
          <c:dLblPos val="inEnd"/>
          <c:showLegendKey val="0"/>
          <c:showVal val="1"/>
          <c:showCatName val="0"/>
          <c:showSerName val="0"/>
          <c:showPercent val="0"/>
          <c:showBubbleSize val="0"/>
        </c:dLbls>
        <c:gapWidth val="41"/>
        <c:axId val="283325616"/>
        <c:axId val="283329144"/>
      </c:barChart>
      <c:catAx>
        <c:axId val="2833256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83329144"/>
        <c:crosses val="autoZero"/>
        <c:auto val="1"/>
        <c:lblAlgn val="ctr"/>
        <c:lblOffset val="100"/>
        <c:noMultiLvlLbl val="0"/>
      </c:catAx>
      <c:valAx>
        <c:axId val="283329144"/>
        <c:scaling>
          <c:orientation val="minMax"/>
        </c:scaling>
        <c:delete val="1"/>
        <c:axPos val="l"/>
        <c:numFmt formatCode="General" sourceLinked="1"/>
        <c:majorTickMark val="none"/>
        <c:minorTickMark val="none"/>
        <c:tickLblPos val="nextTo"/>
        <c:crossAx val="2833256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xdr:col>
      <xdr:colOff>1451879</xdr:colOff>
      <xdr:row>36</xdr:row>
      <xdr:rowOff>39145</xdr:rowOff>
    </xdr:from>
    <xdr:to>
      <xdr:col>8</xdr:col>
      <xdr:colOff>1957191</xdr:colOff>
      <xdr:row>68</xdr:row>
      <xdr:rowOff>51954</xdr:rowOff>
    </xdr:to>
    <xdr:grpSp>
      <xdr:nvGrpSpPr>
        <xdr:cNvPr id="2" name="Group 1"/>
        <xdr:cNvGrpSpPr/>
      </xdr:nvGrpSpPr>
      <xdr:grpSpPr>
        <a:xfrm>
          <a:off x="5809893" y="7085035"/>
          <a:ext cx="13579353" cy="6275823"/>
          <a:chOff x="3304688" y="9471739"/>
          <a:chExt cx="15945775" cy="7607783"/>
        </a:xfrm>
      </xdr:grpSpPr>
      <xdr:grpSp>
        <xdr:nvGrpSpPr>
          <xdr:cNvPr id="47" name="Group 46"/>
          <xdr:cNvGrpSpPr/>
        </xdr:nvGrpSpPr>
        <xdr:grpSpPr>
          <a:xfrm>
            <a:off x="3304688" y="9471739"/>
            <a:ext cx="15928456" cy="1113802"/>
            <a:chOff x="2398058" y="8749553"/>
            <a:chExt cx="11093825" cy="1082487"/>
          </a:xfrm>
          <a:effectLst>
            <a:glow rad="139700">
              <a:schemeClr val="accent2">
                <a:satMod val="175000"/>
                <a:alpha val="40000"/>
              </a:schemeClr>
            </a:glow>
          </a:effectLst>
        </xdr:grpSpPr>
        <xdr:grpSp>
          <xdr:nvGrpSpPr>
            <xdr:cNvPr id="22" name="Group 21"/>
            <xdr:cNvGrpSpPr/>
          </xdr:nvGrpSpPr>
          <xdr:grpSpPr>
            <a:xfrm>
              <a:off x="2398058" y="8751794"/>
              <a:ext cx="2185148" cy="1075765"/>
              <a:chOff x="2196352" y="8942294"/>
              <a:chExt cx="2185148" cy="1075765"/>
            </a:xfrm>
          </xdr:grpSpPr>
          <xdr:sp macro="" textlink="">
            <xdr:nvSpPr>
              <xdr:cNvPr id="4" name="Rectangle 3"/>
              <xdr:cNvSpPr/>
            </xdr:nvSpPr>
            <xdr:spPr>
              <a:xfrm>
                <a:off x="2196352" y="8942294"/>
                <a:ext cx="2185148" cy="1075765"/>
              </a:xfrm>
              <a:prstGeom prst="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5" name="TextBox 4"/>
              <xdr:cNvSpPr txBox="1"/>
            </xdr:nvSpPr>
            <xdr:spPr>
              <a:xfrm>
                <a:off x="2252383" y="9054354"/>
                <a:ext cx="2073088" cy="2801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TOTAL PLANKTON RECORDED</a:t>
                </a:r>
              </a:p>
            </xdr:txBody>
          </xdr:sp>
          <xdr:sp macro="" textlink="Sheet5!B97">
            <xdr:nvSpPr>
              <xdr:cNvPr id="6" name="TextBox 5"/>
              <xdr:cNvSpPr txBox="1"/>
            </xdr:nvSpPr>
            <xdr:spPr>
              <a:xfrm>
                <a:off x="2196353" y="9397254"/>
                <a:ext cx="2185147" cy="47662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31B76C-3A06-4834-B0DE-144AE787E4CC}" type="TxLink">
                  <a:rPr lang="en-US" sz="2000" b="0" i="0" u="none" strike="noStrike">
                    <a:solidFill>
                      <a:srgbClr val="000000"/>
                    </a:solidFill>
                    <a:latin typeface="Calibri"/>
                    <a:cs typeface="Calibri"/>
                  </a:rPr>
                  <a:pPr algn="ctr"/>
                  <a:t>574</a:t>
                </a:fld>
                <a:endParaRPr lang="en-US" sz="2000"/>
              </a:p>
            </xdr:txBody>
          </xdr:sp>
        </xdr:grpSp>
        <xdr:grpSp>
          <xdr:nvGrpSpPr>
            <xdr:cNvPr id="27" name="Group 26"/>
            <xdr:cNvGrpSpPr/>
          </xdr:nvGrpSpPr>
          <xdr:grpSpPr>
            <a:xfrm>
              <a:off x="4619064" y="8754036"/>
              <a:ext cx="2185148" cy="1075765"/>
              <a:chOff x="2196352" y="8942294"/>
              <a:chExt cx="2185148" cy="1075765"/>
            </a:xfrm>
          </xdr:grpSpPr>
          <xdr:sp macro="" textlink="">
            <xdr:nvSpPr>
              <xdr:cNvPr id="28" name="Rectangle 27"/>
              <xdr:cNvSpPr/>
            </xdr:nvSpPr>
            <xdr:spPr>
              <a:xfrm>
                <a:off x="2196352" y="8942294"/>
                <a:ext cx="2185148" cy="1075765"/>
              </a:xfrm>
              <a:prstGeom prst="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9" name="TextBox 28"/>
              <xdr:cNvSpPr txBox="1"/>
            </xdr:nvSpPr>
            <xdr:spPr>
              <a:xfrm>
                <a:off x="2252383" y="9054354"/>
                <a:ext cx="2073088" cy="2801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RICHNESS</a:t>
                </a:r>
                <a:r>
                  <a:rPr lang="en-US" sz="1100" b="1" baseline="0">
                    <a:latin typeface="Arial Narrow" panose="020B0606020202030204" pitchFamily="34" charset="0"/>
                  </a:rPr>
                  <a:t> GROWTH</a:t>
                </a:r>
                <a:endParaRPr lang="en-US" sz="1100" b="1">
                  <a:latin typeface="Arial Narrow" panose="020B0606020202030204" pitchFamily="34" charset="0"/>
                </a:endParaRPr>
              </a:p>
            </xdr:txBody>
          </xdr:sp>
          <xdr:sp macro="" textlink="$B$43">
            <xdr:nvSpPr>
              <xdr:cNvPr id="30" name="TextBox 29"/>
              <xdr:cNvSpPr txBox="1"/>
            </xdr:nvSpPr>
            <xdr:spPr>
              <a:xfrm>
                <a:off x="2196353" y="9397254"/>
                <a:ext cx="2185147" cy="476628"/>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075CD8-B055-493E-BDF0-3A398647D4BE}" type="TxLink">
                  <a:rPr lang="en-US" sz="2000" b="0" i="0" u="none" strike="noStrike">
                    <a:solidFill>
                      <a:srgbClr val="000000"/>
                    </a:solidFill>
                    <a:latin typeface="Calibri"/>
                    <a:cs typeface="Calibri"/>
                  </a:rPr>
                  <a:pPr algn="ctr"/>
                  <a:t>83%</a:t>
                </a:fld>
                <a:endParaRPr lang="en-US" sz="2000" b="0" i="0" u="none" strike="noStrike">
                  <a:solidFill>
                    <a:srgbClr val="000000"/>
                  </a:solidFill>
                  <a:latin typeface="Calibri"/>
                  <a:cs typeface="Calibri"/>
                </a:endParaRPr>
              </a:p>
            </xdr:txBody>
          </xdr:sp>
        </xdr:grpSp>
        <xdr:grpSp>
          <xdr:nvGrpSpPr>
            <xdr:cNvPr id="31" name="Group 30"/>
            <xdr:cNvGrpSpPr/>
          </xdr:nvGrpSpPr>
          <xdr:grpSpPr>
            <a:xfrm>
              <a:off x="6833347" y="8749553"/>
              <a:ext cx="2185148" cy="1075765"/>
              <a:chOff x="2196352" y="8942294"/>
              <a:chExt cx="2185148" cy="1075765"/>
            </a:xfrm>
          </xdr:grpSpPr>
          <xdr:sp macro="" textlink="">
            <xdr:nvSpPr>
              <xdr:cNvPr id="32" name="Rectangle 31"/>
              <xdr:cNvSpPr/>
            </xdr:nvSpPr>
            <xdr:spPr>
              <a:xfrm>
                <a:off x="2196352" y="8942294"/>
                <a:ext cx="2185148" cy="1075765"/>
              </a:xfrm>
              <a:prstGeom prst="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3" name="TextBox 32"/>
              <xdr:cNvSpPr txBox="1"/>
            </xdr:nvSpPr>
            <xdr:spPr>
              <a:xfrm>
                <a:off x="2252383" y="9054354"/>
                <a:ext cx="2073088" cy="2801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MEAN PH</a:t>
                </a:r>
              </a:p>
            </xdr:txBody>
          </xdr:sp>
          <xdr:sp macro="" textlink="Sheet5!C147">
            <xdr:nvSpPr>
              <xdr:cNvPr id="34" name="TextBox 33"/>
              <xdr:cNvSpPr txBox="1"/>
            </xdr:nvSpPr>
            <xdr:spPr>
              <a:xfrm>
                <a:off x="2196353" y="9397254"/>
                <a:ext cx="2185147" cy="476628"/>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663FA9-FF91-4EEA-BB18-6A22E97D1186}" type="TxLink">
                  <a:rPr lang="en-US" sz="2000" b="0" i="0" u="none" strike="noStrike">
                    <a:solidFill>
                      <a:srgbClr val="000000"/>
                    </a:solidFill>
                    <a:latin typeface="Calibri"/>
                    <a:cs typeface="Calibri"/>
                  </a:rPr>
                  <a:pPr algn="ctr"/>
                  <a:t>6.65</a:t>
                </a:fld>
                <a:endParaRPr lang="en-US" sz="2000" b="1">
                  <a:latin typeface="Arial Narrow" panose="020B0606020202030204" pitchFamily="34" charset="0"/>
                </a:endParaRPr>
              </a:p>
            </xdr:txBody>
          </xdr:sp>
        </xdr:grpSp>
        <xdr:grpSp>
          <xdr:nvGrpSpPr>
            <xdr:cNvPr id="35" name="Group 34"/>
            <xdr:cNvGrpSpPr/>
          </xdr:nvGrpSpPr>
          <xdr:grpSpPr>
            <a:xfrm>
              <a:off x="9070040" y="8756275"/>
              <a:ext cx="2185148" cy="1075765"/>
              <a:chOff x="2196352" y="8942294"/>
              <a:chExt cx="2185148" cy="1075765"/>
            </a:xfrm>
          </xdr:grpSpPr>
          <xdr:sp macro="" textlink="">
            <xdr:nvSpPr>
              <xdr:cNvPr id="36" name="Rectangle 35"/>
              <xdr:cNvSpPr/>
            </xdr:nvSpPr>
            <xdr:spPr>
              <a:xfrm>
                <a:off x="2196352" y="8942294"/>
                <a:ext cx="2185148" cy="1075765"/>
              </a:xfrm>
              <a:prstGeom prst="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7" name="TextBox 36"/>
              <xdr:cNvSpPr txBox="1"/>
            </xdr:nvSpPr>
            <xdr:spPr>
              <a:xfrm>
                <a:off x="2252383" y="9054354"/>
                <a:ext cx="2073088" cy="2801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PEAK</a:t>
                </a:r>
                <a:r>
                  <a:rPr lang="en-US" sz="1100" b="1" baseline="0">
                    <a:latin typeface="Arial Narrow" panose="020B0606020202030204" pitchFamily="34" charset="0"/>
                  </a:rPr>
                  <a:t> MN</a:t>
                </a:r>
                <a:endParaRPr lang="en-US" sz="1100" b="1">
                  <a:latin typeface="Arial Narrow" panose="020B0606020202030204" pitchFamily="34" charset="0"/>
                </a:endParaRPr>
              </a:p>
            </xdr:txBody>
          </xdr:sp>
          <xdr:sp macro="" textlink="Sheet5!D163">
            <xdr:nvSpPr>
              <xdr:cNvPr id="38" name="TextBox 37"/>
              <xdr:cNvSpPr txBox="1"/>
            </xdr:nvSpPr>
            <xdr:spPr>
              <a:xfrm>
                <a:off x="2196353" y="9397254"/>
                <a:ext cx="2185147" cy="47662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FBCEAB-87F8-4228-A3FB-74F988EA8157}" type="TxLink">
                  <a:rPr lang="en-US" sz="2000" b="0" i="0" u="none" strike="noStrike">
                    <a:solidFill>
                      <a:srgbClr val="000000"/>
                    </a:solidFill>
                    <a:latin typeface="Calibri"/>
                    <a:cs typeface="Calibri"/>
                  </a:rPr>
                  <a:pPr algn="ctr"/>
                  <a:t>13</a:t>
                </a:fld>
                <a:endParaRPr lang="en-US" sz="2000" b="1">
                  <a:latin typeface="Arial Narrow" panose="020B0606020202030204" pitchFamily="34" charset="0"/>
                </a:endParaRPr>
              </a:p>
            </xdr:txBody>
          </xdr:sp>
        </xdr:grpSp>
        <xdr:grpSp>
          <xdr:nvGrpSpPr>
            <xdr:cNvPr id="39" name="Group 38"/>
            <xdr:cNvGrpSpPr/>
          </xdr:nvGrpSpPr>
          <xdr:grpSpPr>
            <a:xfrm>
              <a:off x="11306735" y="8751794"/>
              <a:ext cx="2185148" cy="1075765"/>
              <a:chOff x="2196352" y="8942294"/>
              <a:chExt cx="2185148" cy="1075765"/>
            </a:xfrm>
          </xdr:grpSpPr>
          <xdr:sp macro="" textlink="">
            <xdr:nvSpPr>
              <xdr:cNvPr id="40" name="Rectangle 39"/>
              <xdr:cNvSpPr/>
            </xdr:nvSpPr>
            <xdr:spPr>
              <a:xfrm>
                <a:off x="2196352" y="8942294"/>
                <a:ext cx="2185148" cy="1075765"/>
              </a:xfrm>
              <a:prstGeom prst="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1" name="TextBox 40"/>
              <xdr:cNvSpPr txBox="1"/>
            </xdr:nvSpPr>
            <xdr:spPr>
              <a:xfrm>
                <a:off x="2252383" y="9054354"/>
                <a:ext cx="2073088" cy="2801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MEAN DO</a:t>
                </a:r>
              </a:p>
            </xdr:txBody>
          </xdr:sp>
          <xdr:sp macro="" textlink="Sheet5!B178">
            <xdr:nvSpPr>
              <xdr:cNvPr id="42" name="TextBox 41"/>
              <xdr:cNvSpPr txBox="1"/>
            </xdr:nvSpPr>
            <xdr:spPr>
              <a:xfrm>
                <a:off x="2196353" y="9431890"/>
                <a:ext cx="2185147" cy="476628"/>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62F15F-A57C-4A12-93DD-D762685950EA}" type="TxLink">
                  <a:rPr lang="en-US" sz="2000" b="0" i="0" u="none" strike="noStrike">
                    <a:solidFill>
                      <a:srgbClr val="000000"/>
                    </a:solidFill>
                    <a:latin typeface="Calibri"/>
                    <a:cs typeface="Calibri"/>
                  </a:rPr>
                  <a:pPr algn="ctr"/>
                  <a:t>28.6</a:t>
                </a:fld>
                <a:endParaRPr lang="en-US" sz="2000" b="1">
                  <a:latin typeface="Arial Narrow" panose="020B0606020202030204" pitchFamily="34" charset="0"/>
                </a:endParaRPr>
              </a:p>
            </xdr:txBody>
          </xdr:sp>
        </xdr:grpSp>
      </xdr:grpSp>
      <xdr:graphicFrame macro="">
        <xdr:nvGraphicFramePr>
          <xdr:cNvPr id="48" name="Chart 47"/>
          <xdr:cNvGraphicFramePr>
            <a:graphicFrameLocks/>
          </xdr:cNvGraphicFramePr>
        </xdr:nvGraphicFramePr>
        <xdr:xfrm>
          <a:off x="6505467" y="10638108"/>
          <a:ext cx="4184832" cy="330990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9" name="Chart 48"/>
          <xdr:cNvGraphicFramePr>
            <a:graphicFrameLocks/>
          </xdr:cNvGraphicFramePr>
        </xdr:nvGraphicFramePr>
        <xdr:xfrm>
          <a:off x="15082950" y="10617123"/>
          <a:ext cx="4150195" cy="33655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0" name="Chart 49"/>
          <xdr:cNvGraphicFramePr>
            <a:graphicFrameLocks/>
          </xdr:cNvGraphicFramePr>
        </xdr:nvGraphicFramePr>
        <xdr:xfrm>
          <a:off x="6522786" y="13913380"/>
          <a:ext cx="4202151" cy="31488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1" name="Chart 50"/>
          <xdr:cNvGraphicFramePr>
            <a:graphicFrameLocks/>
          </xdr:cNvGraphicFramePr>
        </xdr:nvGraphicFramePr>
        <xdr:xfrm>
          <a:off x="10705580" y="10607089"/>
          <a:ext cx="4308096" cy="326643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2" name="Chart 51"/>
          <xdr:cNvGraphicFramePr>
            <a:graphicFrameLocks/>
          </xdr:cNvGraphicFramePr>
        </xdr:nvGraphicFramePr>
        <xdr:xfrm>
          <a:off x="15082950" y="13913380"/>
          <a:ext cx="4167513" cy="316614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3" name="Chart 52"/>
          <xdr:cNvGraphicFramePr>
            <a:graphicFrameLocks/>
          </xdr:cNvGraphicFramePr>
        </xdr:nvGraphicFramePr>
        <xdr:xfrm>
          <a:off x="10724936" y="13965334"/>
          <a:ext cx="4392651" cy="2549849"/>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55" name="MONTH 1"/>
              <xdr:cNvGraphicFramePr/>
            </xdr:nvGraphicFramePr>
            <xdr:xfrm>
              <a:off x="3322006" y="10618193"/>
              <a:ext cx="3166143" cy="1228867"/>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824641" y="8030769"/>
                <a:ext cx="2696274" cy="1013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PLANKTON TYPE 1"/>
              <xdr:cNvGraphicFramePr/>
            </xdr:nvGraphicFramePr>
            <xdr:xfrm>
              <a:off x="3304688" y="11864378"/>
              <a:ext cx="3183460" cy="2591974"/>
            </xdr:xfrm>
            <a:graphic>
              <a:graphicData uri="http://schemas.microsoft.com/office/drawing/2010/slicer">
                <sle:slicer xmlns:sle="http://schemas.microsoft.com/office/drawing/2010/slicer" name="PLANKTON TYPE 1"/>
              </a:graphicData>
            </a:graphic>
          </xdr:graphicFrame>
        </mc:Choice>
        <mc:Fallback xmlns="">
          <xdr:sp macro="" textlink="">
            <xdr:nvSpPr>
              <xdr:cNvPr id="0" name=""/>
              <xdr:cNvSpPr>
                <a:spLocks noTextEdit="1"/>
              </xdr:cNvSpPr>
            </xdr:nvSpPr>
            <xdr:spPr>
              <a:xfrm>
                <a:off x="5809893" y="9058774"/>
                <a:ext cx="2711021" cy="21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228599</xdr:colOff>
      <xdr:row>4</xdr:row>
      <xdr:rowOff>47625</xdr:rowOff>
    </xdr:from>
    <xdr:to>
      <xdr:col>2</xdr:col>
      <xdr:colOff>542924</xdr:colOff>
      <xdr:row>18</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466725</xdr:colOff>
      <xdr:row>21</xdr:row>
      <xdr:rowOff>38100</xdr:rowOff>
    </xdr:from>
    <xdr:to>
      <xdr:col>4</xdr:col>
      <xdr:colOff>419100</xdr:colOff>
      <xdr:row>34</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176892</xdr:colOff>
      <xdr:row>35</xdr:row>
      <xdr:rowOff>29935</xdr:rowOff>
    </xdr:from>
    <xdr:to>
      <xdr:col>5</xdr:col>
      <xdr:colOff>149677</xdr:colOff>
      <xdr:row>49</xdr:row>
      <xdr:rowOff>106135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55</xdr:row>
      <xdr:rowOff>29936</xdr:rowOff>
    </xdr:from>
    <xdr:to>
      <xdr:col>3</xdr:col>
      <xdr:colOff>2013857</xdr:colOff>
      <xdr:row>69</xdr:row>
      <xdr:rowOff>106136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112058</xdr:colOff>
      <xdr:row>24</xdr:row>
      <xdr:rowOff>85165</xdr:rowOff>
    </xdr:from>
    <xdr:to>
      <xdr:col>7</xdr:col>
      <xdr:colOff>358587</xdr:colOff>
      <xdr:row>37</xdr:row>
      <xdr:rowOff>56029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323290</xdr:colOff>
      <xdr:row>38</xdr:row>
      <xdr:rowOff>114300</xdr:rowOff>
    </xdr:from>
    <xdr:to>
      <xdr:col>4</xdr:col>
      <xdr:colOff>123825</xdr:colOff>
      <xdr:row>51</xdr:row>
      <xdr:rowOff>161925</xdr:rowOff>
    </xdr:to>
    <mc:AlternateContent xmlns:mc="http://schemas.openxmlformats.org/markup-compatibility/2006" xmlns:a14="http://schemas.microsoft.com/office/drawing/2010/main">
      <mc:Choice Requires="a14">
        <xdr:graphicFrame macro="">
          <xdr:nvGraphicFramePr>
            <xdr:cNvPr id="18" name="PLANKTON TYPE"/>
            <xdr:cNvGraphicFramePr/>
          </xdr:nvGraphicFramePr>
          <xdr:xfrm>
            <a:off x="0" y="0"/>
            <a:ext cx="0" cy="0"/>
          </xdr:xfrm>
          <a:graphic>
            <a:graphicData uri="http://schemas.microsoft.com/office/drawing/2010/slicer">
              <sle:slicer xmlns:sle="http://schemas.microsoft.com/office/drawing/2010/slicer" name="PLANKTON TYPE"/>
            </a:graphicData>
          </a:graphic>
        </xdr:graphicFrame>
      </mc:Choice>
      <mc:Fallback xmlns="">
        <xdr:sp macro="" textlink="">
          <xdr:nvSpPr>
            <xdr:cNvPr id="0" name=""/>
            <xdr:cNvSpPr>
              <a:spLocks noTextEdit="1"/>
            </xdr:cNvSpPr>
          </xdr:nvSpPr>
          <xdr:spPr>
            <a:xfrm>
              <a:off x="5153025" y="7353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3</xdr:row>
      <xdr:rowOff>57150</xdr:rowOff>
    </xdr:from>
    <xdr:to>
      <xdr:col>11</xdr:col>
      <xdr:colOff>161925</xdr:colOff>
      <xdr:row>13</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76201</xdr:colOff>
      <xdr:row>17</xdr:row>
      <xdr:rowOff>95250</xdr:rowOff>
    </xdr:from>
    <xdr:to>
      <xdr:col>10</xdr:col>
      <xdr:colOff>457201</xdr:colOff>
      <xdr:row>31</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28576</xdr:colOff>
      <xdr:row>34</xdr:row>
      <xdr:rowOff>180975</xdr:rowOff>
    </xdr:from>
    <xdr:to>
      <xdr:col>10</xdr:col>
      <xdr:colOff>352426</xdr:colOff>
      <xdr:row>45</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50</xdr:row>
      <xdr:rowOff>180975</xdr:rowOff>
    </xdr:from>
    <xdr:to>
      <xdr:col>11</xdr:col>
      <xdr:colOff>76200</xdr:colOff>
      <xdr:row>65</xdr:row>
      <xdr:rowOff>66675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65</xdr:row>
      <xdr:rowOff>171450</xdr:rowOff>
    </xdr:from>
    <xdr:to>
      <xdr:col>11</xdr:col>
      <xdr:colOff>28575</xdr:colOff>
      <xdr:row>80</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819150</xdr:colOff>
      <xdr:row>7</xdr:row>
      <xdr:rowOff>57150</xdr:rowOff>
    </xdr:from>
    <xdr:to>
      <xdr:col>6</xdr:col>
      <xdr:colOff>666750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180975</xdr:colOff>
      <xdr:row>29</xdr:row>
      <xdr:rowOff>76198</xdr:rowOff>
    </xdr:from>
    <xdr:to>
      <xdr:col>9</xdr:col>
      <xdr:colOff>619126</xdr:colOff>
      <xdr:row>52</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447674</xdr:colOff>
      <xdr:row>0</xdr:row>
      <xdr:rowOff>171449</xdr:rowOff>
    </xdr:from>
    <xdr:to>
      <xdr:col>5</xdr:col>
      <xdr:colOff>838200</xdr:colOff>
      <xdr:row>13</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15</xdr:row>
      <xdr:rowOff>38100</xdr:rowOff>
    </xdr:from>
    <xdr:to>
      <xdr:col>5</xdr:col>
      <xdr:colOff>752475</xdr:colOff>
      <xdr:row>24</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1028700</xdr:colOff>
      <xdr:row>1</xdr:row>
      <xdr:rowOff>19051</xdr:rowOff>
    </xdr:from>
    <xdr:to>
      <xdr:col>7</xdr:col>
      <xdr:colOff>333375</xdr:colOff>
      <xdr:row>7</xdr:row>
      <xdr:rowOff>76201</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943600" y="209551"/>
              <a:ext cx="147637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505477</xdr:colOff>
      <xdr:row>28</xdr:row>
      <xdr:rowOff>120918</xdr:rowOff>
    </xdr:from>
    <xdr:to>
      <xdr:col>9</xdr:col>
      <xdr:colOff>761038</xdr:colOff>
      <xdr:row>43</xdr:row>
      <xdr:rowOff>3390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36</xdr:row>
      <xdr:rowOff>12700</xdr:rowOff>
    </xdr:from>
    <xdr:to>
      <xdr:col>15</xdr:col>
      <xdr:colOff>260349</xdr:colOff>
      <xdr:row>58</xdr:row>
      <xdr:rowOff>38100</xdr:rowOff>
    </xdr:to>
    <xdr:graphicFrame macro="">
      <xdr:nvGraphicFramePr>
        <xdr:cNvPr id="3" name="Chart 2">
          <a:extLst>
            <a:ext uri="{FF2B5EF4-FFF2-40B4-BE49-F238E27FC236}">
              <a16:creationId xmlns="" xmlns:a16="http://schemas.microsoft.com/office/drawing/2014/main" id="{2CFA4988-9543-2CDE-C6E8-DAA7D070E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342900</xdr:colOff>
      <xdr:row>38</xdr:row>
      <xdr:rowOff>15875</xdr:rowOff>
    </xdr:from>
    <xdr:to>
      <xdr:col>21</xdr:col>
      <xdr:colOff>38100</xdr:colOff>
      <xdr:row>52</xdr:row>
      <xdr:rowOff>187325</xdr:rowOff>
    </xdr:to>
    <xdr:graphicFrame macro="">
      <xdr:nvGraphicFramePr>
        <xdr:cNvPr id="3" name="Chart 2">
          <a:extLst>
            <a:ext uri="{FF2B5EF4-FFF2-40B4-BE49-F238E27FC236}">
              <a16:creationId xmlns="" xmlns:a16="http://schemas.microsoft.com/office/drawing/2014/main" id="{2002F229-CABB-763A-D5EA-2B8D8C751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ADMIN" refreshedDate="46176.141004513891" createdVersion="5" refreshedVersion="5" minRefreshableVersion="3" recordCount="32">
  <cacheSource type="worksheet">
    <worksheetSource ref="A1:BE1048576" sheet="Sheet1"/>
  </cacheSource>
  <cacheFields count="57">
    <cacheField name="Stations" numFmtId="0">
      <sharedItems containsBlank="1"/>
    </cacheField>
    <cacheField name="MONTH" numFmtId="0">
      <sharedItems containsBlank="1"/>
    </cacheField>
    <cacheField name="Aulacoseira granulata" numFmtId="0">
      <sharedItems containsString="0" containsBlank="1" containsNumber="1" containsInteger="1" minValue="0" maxValue="1"/>
    </cacheField>
    <cacheField name="Coscinodiscus sp." numFmtId="0">
      <sharedItems containsString="0" containsBlank="1" containsNumber="1" containsInteger="1" minValue="0" maxValue="1"/>
    </cacheField>
    <cacheField name="Cyclotella sp." numFmtId="0">
      <sharedItems containsString="0" containsBlank="1" containsNumber="1" containsInteger="1" minValue="0" maxValue="1"/>
    </cacheField>
    <cacheField name="Eunotia monodon" numFmtId="0">
      <sharedItems containsString="0" containsBlank="1" containsNumber="1" containsInteger="1" minValue="0" maxValue="1"/>
    </cacheField>
    <cacheField name="Eunotia sp." numFmtId="0">
      <sharedItems containsString="0" containsBlank="1" containsNumber="1" containsInteger="1" minValue="0" maxValue="1"/>
    </cacheField>
    <cacheField name="Frustulia rhomboides" numFmtId="0">
      <sharedItems containsString="0" containsBlank="1" containsNumber="1" containsInteger="1" minValue="0" maxValue="1"/>
    </cacheField>
    <cacheField name="Navicula elegans" numFmtId="0">
      <sharedItems containsString="0" containsBlank="1" containsNumber="1" containsInteger="1" minValue="0" maxValue="1"/>
    </cacheField>
    <cacheField name="Navicula sp." numFmtId="0">
      <sharedItems containsString="0" containsBlank="1" containsNumber="1" containsInteger="1" minValue="0" maxValue="1"/>
    </cacheField>
    <cacheField name="Navicula sp.2" numFmtId="0">
      <sharedItems containsString="0" containsBlank="1" containsNumber="1" containsInteger="1" minValue="0" maxValue="1"/>
    </cacheField>
    <cacheField name="Nitzschia accicularis" numFmtId="0">
      <sharedItems containsString="0" containsBlank="1" containsNumber="1" containsInteger="1" minValue="0" maxValue="1"/>
    </cacheField>
    <cacheField name="Nitzschia palae" numFmtId="0">
      <sharedItems containsString="0" containsBlank="1" containsNumber="1" containsInteger="1" minValue="0" maxValue="1"/>
    </cacheField>
    <cacheField name="Nitzschia sp. 1" numFmtId="0">
      <sharedItems containsString="0" containsBlank="1" containsNumber="1" containsInteger="1" minValue="0" maxValue="1"/>
    </cacheField>
    <cacheField name="Nitzschia sp. 2 " numFmtId="0">
      <sharedItems containsString="0" containsBlank="1" containsNumber="1" containsInteger="1" minValue="0" maxValue="1"/>
    </cacheField>
    <cacheField name="Pinnularia viridis" numFmtId="0">
      <sharedItems containsString="0" containsBlank="1" containsNumber="1" containsInteger="1" minValue="0" maxValue="1"/>
    </cacheField>
    <cacheField name="Pinnularia sp." numFmtId="0">
      <sharedItems containsString="0" containsBlank="1" containsNumber="1" containsInteger="1" minValue="0" maxValue="1"/>
    </cacheField>
    <cacheField name="Synedra  sp." numFmtId="0">
      <sharedItems containsString="0" containsBlank="1" containsNumber="1" containsInteger="1" minValue="0" maxValue="1"/>
    </cacheField>
    <cacheField name="Actinastrum sp." numFmtId="0">
      <sharedItems containsString="0" containsBlank="1" containsNumber="1" containsInteger="1" minValue="0" maxValue="1"/>
    </cacheField>
    <cacheField name="Ankistrodesmus falcatus" numFmtId="0">
      <sharedItems containsString="0" containsBlank="1" containsNumber="1" containsInteger="1" minValue="0" maxValue="1"/>
    </cacheField>
    <cacheField name="Coelastrum microporum" numFmtId="0">
      <sharedItems containsString="0" containsBlank="1" containsNumber="1" containsInteger="1" minValue="0" maxValue="1"/>
    </cacheField>
    <cacheField name="Closterium acerosum" numFmtId="0">
      <sharedItems containsString="0" containsBlank="1" containsNumber="1" containsInteger="1" minValue="0" maxValue="1"/>
    </cacheField>
    <cacheField name="Eudorina " numFmtId="0">
      <sharedItems containsString="0" containsBlank="1" containsNumber="1" containsInteger="1" minValue="0" maxValue="1"/>
    </cacheField>
    <cacheField name="Eudorina sp." numFmtId="0">
      <sharedItems containsString="0" containsBlank="1" containsNumber="1" containsInteger="1" minValue="0" maxValue="1"/>
    </cacheField>
    <cacheField name="Gonium sp." numFmtId="0">
      <sharedItems containsString="0" containsBlank="1" containsNumber="1" containsInteger="1" minValue="0" maxValue="1"/>
    </cacheField>
    <cacheField name="Microspora  sp." numFmtId="0">
      <sharedItems containsString="0" containsBlank="1" containsNumber="1" containsInteger="1" minValue="0" maxValue="1"/>
    </cacheField>
    <cacheField name="Oocystis sp." numFmtId="0">
      <sharedItems containsString="0" containsBlank="1" containsNumber="1" containsInteger="1" minValue="0" maxValue="1"/>
    </cacheField>
    <cacheField name="Pandorina morum" numFmtId="0">
      <sharedItems containsString="0" containsBlank="1" containsNumber="1" containsInteger="1" minValue="0" maxValue="1"/>
    </cacheField>
    <cacheField name="Pandorina sp." numFmtId="0">
      <sharedItems containsString="0" containsBlank="1" containsNumber="1" containsInteger="1" minValue="0" maxValue="1"/>
    </cacheField>
    <cacheField name="Pediastrum biradiatum" numFmtId="0">
      <sharedItems containsString="0" containsBlank="1" containsNumber="1" containsInteger="1" minValue="0" maxValue="1"/>
    </cacheField>
    <cacheField name="Pleodorina sp." numFmtId="0">
      <sharedItems containsString="0" containsBlank="1" containsNumber="1" containsInteger="1" minValue="0" maxValue="1"/>
    </cacheField>
    <cacheField name="Scenedesmus quadicauda" numFmtId="0">
      <sharedItems containsString="0" containsBlank="1" containsNumber="1" containsInteger="1" minValue="0" maxValue="1"/>
    </cacheField>
    <cacheField name="Scenedesmus sp." numFmtId="0">
      <sharedItems containsString="0" containsBlank="1" containsNumber="1" containsInteger="1" minValue="0" maxValue="1"/>
    </cacheField>
    <cacheField name="Ulothrix zonata" numFmtId="0">
      <sharedItems containsString="0" containsBlank="1" containsNumber="1" containsInteger="1" minValue="0" maxValue="1"/>
    </cacheField>
    <cacheField name="Lyngbya sp." numFmtId="0">
      <sharedItems containsString="0" containsBlank="1" containsNumber="1" containsInteger="1" minValue="0" maxValue="1"/>
    </cacheField>
    <cacheField name="Microcystis aeruginosa" numFmtId="0">
      <sharedItems containsString="0" containsBlank="1" containsNumber="1" containsInteger="1" minValue="0" maxValue="1"/>
    </cacheField>
    <cacheField name="Microcystis flos-aque" numFmtId="0">
      <sharedItems containsString="0" containsBlank="1" containsNumber="1" containsInteger="1" minValue="0" maxValue="1"/>
    </cacheField>
    <cacheField name="Nostoc sp." numFmtId="0">
      <sharedItems containsString="0" containsBlank="1" containsNumber="1" containsInteger="1" minValue="0" maxValue="1"/>
    </cacheField>
    <cacheField name="Oscillatoria bornettia" numFmtId="0">
      <sharedItems containsString="0" containsBlank="1" containsNumber="1" containsInteger="1" minValue="0" maxValue="1"/>
    </cacheField>
    <cacheField name="Oscillatoria curviceps" numFmtId="0">
      <sharedItems containsString="0" containsBlank="1" containsNumber="1" containsInteger="1" minValue="0" maxValue="1"/>
    </cacheField>
    <cacheField name="Oscillatoria granulata" numFmtId="0">
      <sharedItems containsString="0" containsBlank="1" containsNumber="1" containsInteger="1" minValue="0" maxValue="1"/>
    </cacheField>
    <cacheField name="Oscillatoria limosa" numFmtId="0">
      <sharedItems containsString="0" containsBlank="1" containsNumber="1" containsInteger="1" minValue="0" maxValue="1"/>
    </cacheField>
    <cacheField name="Oscillatoria sp." numFmtId="0">
      <sharedItems containsString="0" containsBlank="1" containsNumber="1" containsInteger="1" minValue="0" maxValue="1"/>
    </cacheField>
    <cacheField name="Phormidium sp." numFmtId="0">
      <sharedItems containsString="0" containsBlank="1" containsNumber="1" containsInteger="1" minValue="0" maxValue="1"/>
    </cacheField>
    <cacheField name="Scytonema sp." numFmtId="0">
      <sharedItems containsString="0" containsBlank="1" containsNumber="1" containsInteger="1" minValue="0" maxValue="1"/>
    </cacheField>
    <cacheField name="Spirulina platensis" numFmtId="0">
      <sharedItems containsString="0" containsBlank="1" containsNumber="1" containsInteger="1" minValue="0" maxValue="1"/>
    </cacheField>
    <cacheField name="Euglena oxyuris" numFmtId="0">
      <sharedItems containsString="0" containsBlank="1" containsNumber="1" containsInteger="1" minValue="0" maxValue="1"/>
    </cacheField>
    <cacheField name="Euglena viridis" numFmtId="0">
      <sharedItems containsString="0" containsBlank="1" containsNumber="1" containsInteger="1" minValue="0" maxValue="1"/>
    </cacheField>
    <cacheField name="Euglena sp." numFmtId="0">
      <sharedItems containsString="0" containsBlank="1" containsNumber="1" containsInteger="1" minValue="0" maxValue="1"/>
    </cacheField>
    <cacheField name="Lepocinclis ovum" numFmtId="0">
      <sharedItems containsString="0" containsBlank="1" containsNumber="1" containsInteger="1" minValue="0" maxValue="1"/>
    </cacheField>
    <cacheField name="Lepocinclis sp." numFmtId="0">
      <sharedItems containsString="0" containsBlank="1" containsNumber="1" containsInteger="1" minValue="0" maxValue="1"/>
    </cacheField>
    <cacheField name="Phacus curvicauda" numFmtId="0">
      <sharedItems containsString="0" containsBlank="1" containsNumber="1" containsInteger="1" minValue="0" maxValue="1"/>
    </cacheField>
    <cacheField name="Phacus sp." numFmtId="0">
      <sharedItems containsString="0" containsBlank="1" containsNumber="1" containsInteger="1" minValue="0" maxValue="1"/>
    </cacheField>
    <cacheField name="Strombomonas sp." numFmtId="0">
      <sharedItems containsString="0" containsBlank="1" containsNumber="1" containsInteger="1" minValue="0" maxValue="1"/>
    </cacheField>
    <cacheField name="Trachelomonas hispida" numFmtId="0">
      <sharedItems containsString="0" containsBlank="1" containsNumber="1" containsInteger="1" minValue="0" maxValue="1"/>
    </cacheField>
    <cacheField name="Trachelomonas sp." numFmtId="0">
      <sharedItems containsString="0" containsBlank="1" containsNumber="1" containsInteger="1" minValue="0" maxValue="1"/>
    </cacheField>
    <cacheField name="total" numFmtId="0">
      <sharedItems containsString="0" containsBlank="1" containsNumber="1" containsInteger="1" minValue="1" maxValue="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76.147608564817" createdVersion="5" refreshedVersion="5" minRefreshableVersion="3" recordCount="30">
  <cacheSource type="worksheet">
    <worksheetSource ref="A1:BE31" sheet="Sheet1"/>
  </cacheSource>
  <cacheFields count="57">
    <cacheField name="Stations" numFmtId="0">
      <sharedItems count="10">
        <s v="Stn1"/>
        <s v="Stn2"/>
        <s v="Stn3"/>
        <s v="Stn4"/>
        <s v="Stn5"/>
        <s v="Stn6"/>
        <s v="Stn7"/>
        <s v="Stn8"/>
        <s v="Stn9"/>
        <s v="Stn10"/>
      </sharedItems>
    </cacheField>
    <cacheField name="MONTH" numFmtId="0">
      <sharedItems count="3">
        <s v="JULY"/>
        <s v="SEPTEMBER"/>
        <s v="NOVEMBER"/>
      </sharedItems>
    </cacheField>
    <cacheField name="Aulacoseira granulata" numFmtId="0">
      <sharedItems containsSemiMixedTypes="0" containsString="0" containsNumber="1" containsInteger="1" minValue="0" maxValue="1"/>
    </cacheField>
    <cacheField name="Coscinodiscus sp." numFmtId="0">
      <sharedItems containsSemiMixedTypes="0" containsString="0" containsNumber="1" containsInteger="1" minValue="0" maxValue="1"/>
    </cacheField>
    <cacheField name="Cyclotella sp." numFmtId="0">
      <sharedItems containsSemiMixedTypes="0" containsString="0" containsNumber="1" containsInteger="1" minValue="0" maxValue="1"/>
    </cacheField>
    <cacheField name="Eunotia monodon" numFmtId="0">
      <sharedItems containsSemiMixedTypes="0" containsString="0" containsNumber="1" containsInteger="1" minValue="0" maxValue="1"/>
    </cacheField>
    <cacheField name="Eunotia sp." numFmtId="0">
      <sharedItems containsSemiMixedTypes="0" containsString="0" containsNumber="1" containsInteger="1" minValue="0" maxValue="1"/>
    </cacheField>
    <cacheField name="Frustulia rhomboides" numFmtId="0">
      <sharedItems containsSemiMixedTypes="0" containsString="0" containsNumber="1" containsInteger="1" minValue="0" maxValue="1"/>
    </cacheField>
    <cacheField name="Navicula elegans" numFmtId="0">
      <sharedItems containsSemiMixedTypes="0" containsString="0" containsNumber="1" containsInteger="1" minValue="0" maxValue="1"/>
    </cacheField>
    <cacheField name="Navicula sp." numFmtId="0">
      <sharedItems containsSemiMixedTypes="0" containsString="0" containsNumber="1" containsInteger="1" minValue="0" maxValue="1"/>
    </cacheField>
    <cacheField name="Navicula sp.2" numFmtId="0">
      <sharedItems containsSemiMixedTypes="0" containsString="0" containsNumber="1" containsInteger="1" minValue="0" maxValue="1"/>
    </cacheField>
    <cacheField name="Nitzschia accicularis" numFmtId="0">
      <sharedItems containsSemiMixedTypes="0" containsString="0" containsNumber="1" containsInteger="1" minValue="0" maxValue="1"/>
    </cacheField>
    <cacheField name="Nitzschia palae" numFmtId="0">
      <sharedItems containsSemiMixedTypes="0" containsString="0" containsNumber="1" containsInteger="1" minValue="0" maxValue="1"/>
    </cacheField>
    <cacheField name="Nitzschia sp. 1" numFmtId="0">
      <sharedItems containsSemiMixedTypes="0" containsString="0" containsNumber="1" containsInteger="1" minValue="0" maxValue="1"/>
    </cacheField>
    <cacheField name="Nitzschia sp. 2 " numFmtId="0">
      <sharedItems containsSemiMixedTypes="0" containsString="0" containsNumber="1" containsInteger="1" minValue="0" maxValue="1"/>
    </cacheField>
    <cacheField name="Pinnularia viridis" numFmtId="0">
      <sharedItems containsSemiMixedTypes="0" containsString="0" containsNumber="1" containsInteger="1" minValue="0" maxValue="1"/>
    </cacheField>
    <cacheField name="Pinnularia sp." numFmtId="0">
      <sharedItems containsSemiMixedTypes="0" containsString="0" containsNumber="1" containsInteger="1" minValue="0" maxValue="1"/>
    </cacheField>
    <cacheField name="Synedra  sp." numFmtId="0">
      <sharedItems containsSemiMixedTypes="0" containsString="0" containsNumber="1" containsInteger="1" minValue="0" maxValue="1"/>
    </cacheField>
    <cacheField name="Actinastrum sp." numFmtId="0">
      <sharedItems containsSemiMixedTypes="0" containsString="0" containsNumber="1" containsInteger="1" minValue="0" maxValue="1"/>
    </cacheField>
    <cacheField name="Ankistrodesmus falcatus" numFmtId="0">
      <sharedItems containsSemiMixedTypes="0" containsString="0" containsNumber="1" containsInteger="1" minValue="0" maxValue="1"/>
    </cacheField>
    <cacheField name="Coelastrum microporum" numFmtId="0">
      <sharedItems containsSemiMixedTypes="0" containsString="0" containsNumber="1" containsInteger="1" minValue="0" maxValue="1"/>
    </cacheField>
    <cacheField name="Closterium acerosum" numFmtId="0">
      <sharedItems containsSemiMixedTypes="0" containsString="0" containsNumber="1" containsInteger="1" minValue="0" maxValue="1"/>
    </cacheField>
    <cacheField name="Eudorina " numFmtId="0">
      <sharedItems containsSemiMixedTypes="0" containsString="0" containsNumber="1" containsInteger="1" minValue="0" maxValue="1"/>
    </cacheField>
    <cacheField name="Eudorina sp." numFmtId="0">
      <sharedItems containsSemiMixedTypes="0" containsString="0" containsNumber="1" containsInteger="1" minValue="0" maxValue="1"/>
    </cacheField>
    <cacheField name="Gonium sp." numFmtId="0">
      <sharedItems containsSemiMixedTypes="0" containsString="0" containsNumber="1" containsInteger="1" minValue="0" maxValue="1"/>
    </cacheField>
    <cacheField name="Microspora  sp." numFmtId="0">
      <sharedItems containsSemiMixedTypes="0" containsString="0" containsNumber="1" containsInteger="1" minValue="0" maxValue="1"/>
    </cacheField>
    <cacheField name="Oocystis sp." numFmtId="0">
      <sharedItems containsSemiMixedTypes="0" containsString="0" containsNumber="1" containsInteger="1" minValue="0" maxValue="1"/>
    </cacheField>
    <cacheField name="Pandorina morum" numFmtId="0">
      <sharedItems containsSemiMixedTypes="0" containsString="0" containsNumber="1" containsInteger="1" minValue="0" maxValue="1"/>
    </cacheField>
    <cacheField name="Pandorina sp." numFmtId="0">
      <sharedItems containsSemiMixedTypes="0" containsString="0" containsNumber="1" containsInteger="1" minValue="0" maxValue="1"/>
    </cacheField>
    <cacheField name="Pediastrum biradiatum" numFmtId="0">
      <sharedItems containsSemiMixedTypes="0" containsString="0" containsNumber="1" containsInteger="1" minValue="0" maxValue="1"/>
    </cacheField>
    <cacheField name="Pleodorina sp." numFmtId="0">
      <sharedItems containsSemiMixedTypes="0" containsString="0" containsNumber="1" containsInteger="1" minValue="0" maxValue="1"/>
    </cacheField>
    <cacheField name="Scenedesmus quadicauda" numFmtId="0">
      <sharedItems containsSemiMixedTypes="0" containsString="0" containsNumber="1" containsInteger="1" minValue="0" maxValue="1"/>
    </cacheField>
    <cacheField name="Scenedesmus sp." numFmtId="0">
      <sharedItems containsSemiMixedTypes="0" containsString="0" containsNumber="1" containsInteger="1" minValue="0" maxValue="1"/>
    </cacheField>
    <cacheField name="Ulothrix zonata" numFmtId="0">
      <sharedItems containsSemiMixedTypes="0" containsString="0" containsNumber="1" containsInteger="1" minValue="0" maxValue="1"/>
    </cacheField>
    <cacheField name="Lyngbya sp." numFmtId="0">
      <sharedItems containsSemiMixedTypes="0" containsString="0" containsNumber="1" containsInteger="1" minValue="0" maxValue="1"/>
    </cacheField>
    <cacheField name="Microcystis aeruginosa" numFmtId="0">
      <sharedItems containsSemiMixedTypes="0" containsString="0" containsNumber="1" containsInteger="1" minValue="0" maxValue="1"/>
    </cacheField>
    <cacheField name="Microcystis flos-aque" numFmtId="0">
      <sharedItems containsSemiMixedTypes="0" containsString="0" containsNumber="1" containsInteger="1" minValue="0" maxValue="1"/>
    </cacheField>
    <cacheField name="Nostoc sp." numFmtId="0">
      <sharedItems containsSemiMixedTypes="0" containsString="0" containsNumber="1" containsInteger="1" minValue="0" maxValue="1"/>
    </cacheField>
    <cacheField name="Oscillatoria bornettia" numFmtId="0">
      <sharedItems containsSemiMixedTypes="0" containsString="0" containsNumber="1" containsInteger="1" minValue="0" maxValue="1"/>
    </cacheField>
    <cacheField name="Oscillatoria curviceps" numFmtId="0">
      <sharedItems containsSemiMixedTypes="0" containsString="0" containsNumber="1" containsInteger="1" minValue="0" maxValue="1"/>
    </cacheField>
    <cacheField name="Oscillatoria granulata" numFmtId="0">
      <sharedItems containsSemiMixedTypes="0" containsString="0" containsNumber="1" containsInteger="1" minValue="0" maxValue="1"/>
    </cacheField>
    <cacheField name="Oscillatoria limosa" numFmtId="0">
      <sharedItems containsSemiMixedTypes="0" containsString="0" containsNumber="1" containsInteger="1" minValue="0" maxValue="1"/>
    </cacheField>
    <cacheField name="Oscillatoria sp." numFmtId="0">
      <sharedItems containsSemiMixedTypes="0" containsString="0" containsNumber="1" containsInteger="1" minValue="0" maxValue="1"/>
    </cacheField>
    <cacheField name="Phormidium sp." numFmtId="0">
      <sharedItems containsSemiMixedTypes="0" containsString="0" containsNumber="1" containsInteger="1" minValue="0" maxValue="1"/>
    </cacheField>
    <cacheField name="Scytonema sp." numFmtId="0">
      <sharedItems containsSemiMixedTypes="0" containsString="0" containsNumber="1" containsInteger="1" minValue="0" maxValue="1"/>
    </cacheField>
    <cacheField name="Spirulina platensis" numFmtId="0">
      <sharedItems containsSemiMixedTypes="0" containsString="0" containsNumber="1" containsInteger="1" minValue="0" maxValue="1"/>
    </cacheField>
    <cacheField name="Euglena oxyuris" numFmtId="0">
      <sharedItems containsSemiMixedTypes="0" containsString="0" containsNumber="1" containsInteger="1" minValue="0" maxValue="1"/>
    </cacheField>
    <cacheField name="Euglena viridis" numFmtId="0">
      <sharedItems containsSemiMixedTypes="0" containsString="0" containsNumber="1" containsInteger="1" minValue="0" maxValue="1"/>
    </cacheField>
    <cacheField name="Euglena sp." numFmtId="0">
      <sharedItems containsSemiMixedTypes="0" containsString="0" containsNumber="1" containsInteger="1" minValue="0" maxValue="1"/>
    </cacheField>
    <cacheField name="Lepocinclis ovum" numFmtId="0">
      <sharedItems containsSemiMixedTypes="0" containsString="0" containsNumber="1" containsInteger="1" minValue="0" maxValue="1"/>
    </cacheField>
    <cacheField name="Lepocinclis sp." numFmtId="0">
      <sharedItems containsSemiMixedTypes="0" containsString="0" containsNumber="1" containsInteger="1" minValue="0" maxValue="1"/>
    </cacheField>
    <cacheField name="Phacus curvicauda" numFmtId="0">
      <sharedItems containsSemiMixedTypes="0" containsString="0" containsNumber="1" containsInteger="1" minValue="0" maxValue="1"/>
    </cacheField>
    <cacheField name="Phacus sp." numFmtId="0">
      <sharedItems containsSemiMixedTypes="0" containsString="0" containsNumber="1" containsInteger="1" minValue="0" maxValue="1"/>
    </cacheField>
    <cacheField name="Strombomonas sp." numFmtId="0">
      <sharedItems containsSemiMixedTypes="0" containsString="0" containsNumber="1" containsInteger="1" minValue="0" maxValue="1"/>
    </cacheField>
    <cacheField name="Trachelomonas hispida" numFmtId="0">
      <sharedItems containsSemiMixedTypes="0" containsString="0" containsNumber="1" containsInteger="1" minValue="0" maxValue="1"/>
    </cacheField>
    <cacheField name="Trachelomonas sp." numFmtId="0">
      <sharedItems containsSemiMixedTypes="0" containsString="0" containsNumber="1" containsInteger="1" minValue="0" maxValue="1"/>
    </cacheField>
    <cacheField name="total" numFmtId="0">
      <sharedItems containsSemiMixedTypes="0" containsString="0" containsNumber="1" containsInteger="1" minValue="1" maxValue="18"/>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77.112661342595" createdVersion="5" refreshedVersion="5" minRefreshableVersion="3" recordCount="30">
  <cacheSource type="worksheet">
    <worksheetSource ref="A1:W31" sheet="GRANDMASTER SHEET"/>
  </cacheSource>
  <cacheFields count="23">
    <cacheField name="GROUP" numFmtId="0">
      <sharedItems/>
    </cacheField>
    <cacheField name=" " numFmtId="0">
      <sharedItems count="3">
        <s v="JULY"/>
        <s v="SEPTEMBER"/>
        <s v="NOVEMBER"/>
      </sharedItems>
    </cacheField>
    <cacheField name="bacillariophyta" numFmtId="0">
      <sharedItems containsSemiMixedTypes="0" containsString="0" containsNumber="1" containsInteger="1" minValue="0" maxValue="6"/>
    </cacheField>
    <cacheField name="chlorophyta" numFmtId="0">
      <sharedItems containsSemiMixedTypes="0" containsString="0" containsNumber="1" containsInteger="1" minValue="0" maxValue="6"/>
    </cacheField>
    <cacheField name="cyabophyta" numFmtId="0">
      <sharedItems containsSemiMixedTypes="0" containsString="0" containsNumber="1" containsInteger="1" minValue="0" maxValue="7"/>
    </cacheField>
    <cacheField name="euglenophyta" numFmtId="0">
      <sharedItems containsSemiMixedTypes="0" containsString="0" containsNumber="1" containsInteger="1" minValue="0" maxValue="5"/>
    </cacheField>
    <cacheField name="Cladocera" numFmtId="0">
      <sharedItems containsSemiMixedTypes="0" containsString="0" containsNumber="1" containsInteger="1" minValue="1" maxValue="6"/>
    </cacheField>
    <cacheField name="Copepoda" numFmtId="0">
      <sharedItems containsSemiMixedTypes="0" containsString="0" containsNumber="1" containsInteger="1" minValue="1" maxValue="6"/>
    </cacheField>
    <cacheField name="Rotifera" numFmtId="0">
      <sharedItems containsSemiMixedTypes="0" containsString="0" containsNumber="1" containsInteger="1" minValue="5" maxValue="13"/>
    </cacheField>
    <cacheField name="Protozoa" numFmtId="0">
      <sharedItems containsSemiMixedTypes="0" containsString="0" containsNumber="1" containsInteger="1" minValue="1" maxValue="7"/>
    </cacheField>
    <cacheField name="pH" numFmtId="0">
      <sharedItems containsSemiMixedTypes="0" containsString="0" containsNumber="1" minValue="6" maxValue="7.4"/>
    </cacheField>
    <cacheField name="Temperature" numFmtId="0">
      <sharedItems containsSemiMixedTypes="0" containsString="0" containsNumber="1" minValue="25.8" maxValue="29"/>
    </cacheField>
    <cacheField name="Dissolved Oxygen (DO)" numFmtId="0">
      <sharedItems containsSemiMixedTypes="0" containsString="0" containsNumber="1" minValue="4.5" maxValue="65.3"/>
    </cacheField>
    <cacheField name="Biochemical Oxygen Demand (BOD)" numFmtId="0">
      <sharedItems containsSemiMixedTypes="0" containsString="0" containsNumber="1" minValue="6.5" maxValue="124.6"/>
    </cacheField>
    <cacheField name="Turbidity" numFmtId="0">
      <sharedItems containsSemiMixedTypes="0" containsString="0" containsNumber="1" containsInteger="1" minValue="30" maxValue="72"/>
    </cacheField>
    <cacheField name="Total Suspended Solids (TSS)" numFmtId="0">
      <sharedItems containsSemiMixedTypes="0" containsString="0" containsNumber="1" minValue="2.1" maxValue="11"/>
    </cacheField>
    <cacheField name="Electrical Conductivity (EC)" numFmtId="0">
      <sharedItems containsSemiMixedTypes="0" containsString="0" containsNumber="1" containsInteger="1" minValue="350" maxValue="910"/>
    </cacheField>
    <cacheField name="Cu (mg/L)" numFmtId="0">
      <sharedItems containsSemiMixedTypes="0" containsString="0" containsNumber="1" minValue="5.0000000000000001E-4" maxValue="1.4E-2"/>
    </cacheField>
    <cacheField name="Cr (mg/L)" numFmtId="0">
      <sharedItems containsSemiMixedTypes="0" containsString="0" containsNumber="1" minValue="5.0000000000000001E-4" maxValue="5.0000000000000001E-4"/>
    </cacheField>
    <cacheField name="Mn (mg/L)" numFmtId="0">
      <sharedItems containsSemiMixedTypes="0" containsString="0" containsNumber="1" minValue="3.1E-2" maxValue="0.53700000000000003"/>
    </cacheField>
    <cacheField name="Ni (mg/L)" numFmtId="0">
      <sharedItems containsSemiMixedTypes="0" containsString="0" containsNumber="1" minValue="5.0000000000000001E-4" maxValue="3.5000000000000003E-2"/>
    </cacheField>
    <cacheField name="Pb (mg/L)" numFmtId="0">
      <sharedItems containsSemiMixedTypes="0" containsString="0" containsNumber="1" minValue="5.0000000000000001E-4" maxValue="5.0000000000000001E-4"/>
    </cacheField>
    <cacheField name="Zn (mg/L)" numFmtId="0">
      <sharedItems containsSemiMixedTypes="0" containsString="0" containsNumber="1" minValue="1.9E-2" maxValue="0.2429999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77.137698611114" createdVersion="5" refreshedVersion="5" minRefreshableVersion="3" recordCount="104">
  <cacheSource type="worksheet">
    <worksheetSource ref="A1:AK105" sheet="MASTER PLANKTON"/>
  </cacheSource>
  <cacheFields count="37">
    <cacheField name="SPECIES" numFmtId="0">
      <sharedItems count="104">
        <s v="Aulacoseira granulata"/>
        <s v="Coscinodiscus sp."/>
        <s v="Cyclotella sp."/>
        <s v="Eunotia monodon"/>
        <s v="Eunotia sp."/>
        <s v="Frustulia rhomboides"/>
        <s v="Navicula elegans"/>
        <s v="Navicula sp."/>
        <s v="Navicula sp.2"/>
        <s v="Nitzschia accicularis"/>
        <s v="Nitzschia palae"/>
        <s v="Nitzschia sp. 1"/>
        <s v="Nitzschia sp. 2 "/>
        <s v="Pinnularia viridis"/>
        <s v="Pinnularia sp."/>
        <s v="Synedra  sp."/>
        <s v="Actinastrum sp."/>
        <s v="Ankistrodesmus falcatus"/>
        <s v="Coelastrum microporum"/>
        <s v="Closterium acerosum"/>
        <s v="Eudorina "/>
        <s v="Eudorina sp."/>
        <s v="Gonium sp."/>
        <s v="Microspora  sp."/>
        <s v="Oocystis sp."/>
        <s v="Pandorina morum"/>
        <s v="Pandorina sp."/>
        <s v="Pediastrum biradiatum"/>
        <s v="Pleodorina sp."/>
        <s v="Scenedesmus quadicauda"/>
        <s v="Scenedesmus sp."/>
        <s v="Ulothrix zonata"/>
        <s v="Lyngbya sp."/>
        <s v="Microcystis aeruginosa"/>
        <s v="Microcystis flos-aque"/>
        <s v="Nostoc sp."/>
        <s v="Oscillatoria bornettia"/>
        <s v="Oscillatoria curviceps"/>
        <s v="Oscillatoria granulata"/>
        <s v="Oscillatoria limosa"/>
        <s v="Oscillatoria sp."/>
        <s v="Phormidium sp."/>
        <s v="Scytonema sp."/>
        <s v="Spirulina platensis"/>
        <s v="Euglena oxyuris"/>
        <s v="Euglena viridis"/>
        <s v="Euglena sp."/>
        <s v="Lepocinclis ovum"/>
        <s v="Lepocinclis sp."/>
        <s v="Phacus curvicauda"/>
        <s v="Phacus sp."/>
        <s v="Strombomonas sp."/>
        <s v="Trachelomonas hispida"/>
        <s v="Trachelomonas sp."/>
        <s v="Daphnia magna"/>
        <s v="Daphnia pulex"/>
        <s v="Moina micrura"/>
        <s v="Bosmina longirostris"/>
        <s v="Diaphanosoma brachyurum"/>
        <s v="Cladocera sp.1"/>
        <s v="Cladocera sp.2"/>
        <s v="Daphnia longispina"/>
        <s v="Bosmina coregoni"/>
        <s v="Moina macrocopa"/>
        <s v="Cyclops strenuus"/>
        <s v="Mesocyclops leuckarti"/>
        <s v="Diaptomus sp."/>
        <s v="Copepoda sp.1"/>
        <s v="Copepoda sp.2"/>
        <s v="Cyclops vicinus"/>
        <s v="Mesocyclops thermocyclopoides"/>
        <s v="Diaptomus gracilis"/>
        <s v="Brachionus calyciflorus"/>
        <s v="Brachionus angularis"/>
        <s v="Keratella cochlearis"/>
        <s v="Keratella tropica"/>
        <s v="Asplanchna priodonta"/>
        <s v="Filinia longiseta"/>
        <s v="Trichocerca sp."/>
        <s v="Euchlanis dilatata"/>
        <s v="Polyarthra sp."/>
        <s v="Lepadella sp."/>
        <s v="Rotaria rotatoria"/>
        <s v="Colurella sp."/>
        <s v="Brachionus rubens"/>
        <s v="Keratella quadrata"/>
        <s v="Asplanchna brightwelli"/>
        <s v="Filinia pejleri"/>
        <s v="Trichocerca simoneae"/>
        <s v="Polyarthra dolichoptera"/>
        <s v="Lepadella ovalis"/>
        <s v="Rotaria neptunia"/>
        <s v="Colurella uncinata"/>
        <s v="Rotifera sp.1"/>
        <s v="Rotifera sp.2"/>
        <s v="Euglena gracilis"/>
        <s v="Paramecium caudatum"/>
        <s v="Vorticella sp."/>
        <s v="Stentor sp."/>
        <s v="Spirostomum sp."/>
        <s v="Protozoa sp.1"/>
        <s v="Protozoa sp.2"/>
        <s v="Euglena sp.1"/>
        <s v="Paramecium bursaria"/>
      </sharedItems>
    </cacheField>
    <cacheField name="GROUP" numFmtId="0">
      <sharedItems count="8">
        <s v="Bacillariophyta"/>
        <s v="Chlorophyta"/>
        <s v="Cyanophyta"/>
        <s v="Euglenophyta"/>
        <s v="Cladocera"/>
        <s v="Copepoda"/>
        <s v="Rotifera"/>
        <s v="Protozoa"/>
      </sharedItems>
    </cacheField>
    <cacheField name="PLANKTON TYPE" numFmtId="0">
      <sharedItems count="2">
        <s v="PHYTOPLANKTON"/>
        <s v="ZOOPLANKTON"/>
      </sharedItems>
    </cacheField>
    <cacheField name="Stn1" numFmtId="0">
      <sharedItems containsSemiMixedTypes="0" containsString="0" containsNumber="1" containsInteger="1" minValue="0" maxValue="1" count="2">
        <n v="1"/>
        <n v="0"/>
      </sharedItems>
    </cacheField>
    <cacheField name="Stn2" numFmtId="0">
      <sharedItems containsSemiMixedTypes="0" containsString="0" containsNumber="1" containsInteger="1" minValue="0" maxValue="1" count="2">
        <n v="1"/>
        <n v="0"/>
      </sharedItems>
    </cacheField>
    <cacheField name="Stn3" numFmtId="0">
      <sharedItems containsSemiMixedTypes="0" containsString="0" containsNumber="1" containsInteger="1" minValue="0" maxValue="1" count="2">
        <n v="0"/>
        <n v="1"/>
      </sharedItems>
    </cacheField>
    <cacheField name="Stn4" numFmtId="0">
      <sharedItems containsSemiMixedTypes="0" containsString="0" containsNumber="1" containsInteger="1" minValue="0" maxValue="1" count="2">
        <n v="0"/>
        <n v="1"/>
      </sharedItems>
    </cacheField>
    <cacheField name="Stn5" numFmtId="0">
      <sharedItems containsSemiMixedTypes="0" containsString="0" containsNumber="1" containsInteger="1" minValue="0" maxValue="1" count="2">
        <n v="1"/>
        <n v="0"/>
      </sharedItems>
    </cacheField>
    <cacheField name="Stn6" numFmtId="0">
      <sharedItems containsSemiMixedTypes="0" containsString="0" containsNumber="1" containsInteger="1" minValue="0" maxValue="1" count="2">
        <n v="0"/>
        <n v="1"/>
      </sharedItems>
    </cacheField>
    <cacheField name="Stn7" numFmtId="0">
      <sharedItems containsSemiMixedTypes="0" containsString="0" containsNumber="1" containsInteger="1" minValue="0" maxValue="1" count="2">
        <n v="1"/>
        <n v="0"/>
      </sharedItems>
    </cacheField>
    <cacheField name="Stn8" numFmtId="0">
      <sharedItems containsSemiMixedTypes="0" containsString="0" containsNumber="1" containsInteger="1" minValue="0" maxValue="1" count="2">
        <n v="1"/>
        <n v="0"/>
      </sharedItems>
    </cacheField>
    <cacheField name="Stn9" numFmtId="0">
      <sharedItems containsSemiMixedTypes="0" containsString="0" containsNumber="1" containsInteger="1" minValue="0" maxValue="1" count="2">
        <n v="1"/>
        <n v="0"/>
      </sharedItems>
    </cacheField>
    <cacheField name="Stn10" numFmtId="0">
      <sharedItems containsSemiMixedTypes="0" containsString="0" containsNumber="1" containsInteger="1" minValue="0" maxValue="1" count="2">
        <n v="0"/>
        <n v="1"/>
      </sharedItems>
    </cacheField>
    <cacheField name="Stn12" numFmtId="0">
      <sharedItems containsSemiMixedTypes="0" containsString="0" containsNumber="1" containsInteger="1" minValue="0" maxValue="1"/>
    </cacheField>
    <cacheField name="Stn22" numFmtId="0">
      <sharedItems containsSemiMixedTypes="0" containsString="0" containsNumber="1" containsInteger="1" minValue="0" maxValue="1"/>
    </cacheField>
    <cacheField name="Stn32" numFmtId="0">
      <sharedItems containsSemiMixedTypes="0" containsString="0" containsNumber="1" containsInteger="1" minValue="0" maxValue="1"/>
    </cacheField>
    <cacheField name="Stn42" numFmtId="0">
      <sharedItems containsSemiMixedTypes="0" containsString="0" containsNumber="1" containsInteger="1" minValue="0" maxValue="1"/>
    </cacheField>
    <cacheField name="Stn52" numFmtId="0">
      <sharedItems containsSemiMixedTypes="0" containsString="0" containsNumber="1" containsInteger="1" minValue="0" maxValue="1"/>
    </cacheField>
    <cacheField name="Stn62" numFmtId="0">
      <sharedItems containsSemiMixedTypes="0" containsString="0" containsNumber="1" containsInteger="1" minValue="0" maxValue="1"/>
    </cacheField>
    <cacheField name="Stn72" numFmtId="0">
      <sharedItems containsSemiMixedTypes="0" containsString="0" containsNumber="1" containsInteger="1" minValue="0" maxValue="1"/>
    </cacheField>
    <cacheField name="Stn82" numFmtId="0">
      <sharedItems containsSemiMixedTypes="0" containsString="0" containsNumber="1" containsInteger="1" minValue="0" maxValue="1"/>
    </cacheField>
    <cacheField name="Stn92" numFmtId="0">
      <sharedItems containsSemiMixedTypes="0" containsString="0" containsNumber="1" containsInteger="1" minValue="0" maxValue="1"/>
    </cacheField>
    <cacheField name="Stn102" numFmtId="0">
      <sharedItems containsSemiMixedTypes="0" containsString="0" containsNumber="1" containsInteger="1" minValue="0" maxValue="1"/>
    </cacheField>
    <cacheField name="Stn13" numFmtId="0">
      <sharedItems containsSemiMixedTypes="0" containsString="0" containsNumber="1" containsInteger="1" minValue="0" maxValue="1"/>
    </cacheField>
    <cacheField name="Stn23" numFmtId="0">
      <sharedItems containsSemiMixedTypes="0" containsString="0" containsNumber="1" containsInteger="1" minValue="0" maxValue="1"/>
    </cacheField>
    <cacheField name="Stn33" numFmtId="0">
      <sharedItems containsSemiMixedTypes="0" containsString="0" containsNumber="1" containsInteger="1" minValue="0" maxValue="1"/>
    </cacheField>
    <cacheField name="Stn43" numFmtId="0">
      <sharedItems containsSemiMixedTypes="0" containsString="0" containsNumber="1" containsInteger="1" minValue="0" maxValue="1"/>
    </cacheField>
    <cacheField name="Stn53" numFmtId="0">
      <sharedItems containsSemiMixedTypes="0" containsString="0" containsNumber="1" containsInteger="1" minValue="0" maxValue="1"/>
    </cacheField>
    <cacheField name="Stn63" numFmtId="0">
      <sharedItems containsSemiMixedTypes="0" containsString="0" containsNumber="1" containsInteger="1" minValue="0" maxValue="1"/>
    </cacheField>
    <cacheField name="Stn73" numFmtId="0">
      <sharedItems containsSemiMixedTypes="0" containsString="0" containsNumber="1" containsInteger="1" minValue="0" maxValue="1"/>
    </cacheField>
    <cacheField name="Stn83" numFmtId="0">
      <sharedItems containsSemiMixedTypes="0" containsString="0" containsNumber="1" containsInteger="1" minValue="0" maxValue="1"/>
    </cacheField>
    <cacheField name="Stn93" numFmtId="0">
      <sharedItems containsSemiMixedTypes="0" containsString="0" containsNumber="1" containsInteger="1" minValue="0" maxValue="1"/>
    </cacheField>
    <cacheField name="Stn103" numFmtId="0">
      <sharedItems containsSemiMixedTypes="0" containsString="0" containsNumber="1" containsInteger="1" minValue="0" maxValue="1"/>
    </cacheField>
    <cacheField name="OVERALL ABUNDANCE" numFmtId="0">
      <sharedItems containsSemiMixedTypes="0" containsString="0" containsNumber="1" containsInteger="1" minValue="1" maxValue="20"/>
    </cacheField>
    <cacheField name="JULY ABUNANCE" numFmtId="0">
      <sharedItems containsSemiMixedTypes="0" containsString="0" containsNumber="1" containsInteger="1" minValue="0" maxValue="7"/>
    </cacheField>
    <cacheField name="SEPTEMBER ABUNDANC" numFmtId="0">
      <sharedItems containsSemiMixedTypes="0" containsString="0" containsNumber="1" containsInteger="1" minValue="0" maxValue="7"/>
    </cacheField>
    <cacheField name="NOVEMBER ABUNDANCE"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3"/>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210.232320370371" createdVersion="5" refreshedVersion="5" minRefreshableVersion="3" recordCount="30">
  <cacheSource type="worksheet">
    <worksheetSource ref="A1:X31" sheet="GRANDMASTER SHEET (2)"/>
  </cacheSource>
  <cacheFields count="24">
    <cacheField name="STATION" numFmtId="0">
      <sharedItems count="10">
        <s v="Stn1"/>
        <s v="Stn2"/>
        <s v="Stn3"/>
        <s v="Stn4"/>
        <s v="Stn5"/>
        <s v="Stn6"/>
        <s v="Stn7"/>
        <s v="Stn8"/>
        <s v="Stn9"/>
        <s v="Stn10"/>
      </sharedItems>
    </cacheField>
    <cacheField name="MONTH" numFmtId="0">
      <sharedItems count="3">
        <s v="JULY"/>
        <s v="SEPTEMBER"/>
        <s v="NOVEMBER"/>
      </sharedItems>
    </cacheField>
    <cacheField name="bacillariophyta" numFmtId="0">
      <sharedItems containsSemiMixedTypes="0" containsString="0" containsNumber="1" containsInteger="1" minValue="0" maxValue="6"/>
    </cacheField>
    <cacheField name="chlorophyta" numFmtId="0">
      <sharedItems containsSemiMixedTypes="0" containsString="0" containsNumber="1" containsInteger="1" minValue="0" maxValue="6"/>
    </cacheField>
    <cacheField name="cyanophyta" numFmtId="0">
      <sharedItems containsSemiMixedTypes="0" containsString="0" containsNumber="1" containsInteger="1" minValue="0" maxValue="7"/>
    </cacheField>
    <cacheField name="euglenophyta" numFmtId="0">
      <sharedItems containsSemiMixedTypes="0" containsString="0" containsNumber="1" containsInteger="1" minValue="0" maxValue="5"/>
    </cacheField>
    <cacheField name="Cladocera" numFmtId="0">
      <sharedItems containsSemiMixedTypes="0" containsString="0" containsNumber="1" containsInteger="1" minValue="1" maxValue="6"/>
    </cacheField>
    <cacheField name="Copepoda" numFmtId="0">
      <sharedItems containsSemiMixedTypes="0" containsString="0" containsNumber="1" containsInteger="1" minValue="1" maxValue="6"/>
    </cacheField>
    <cacheField name="Rotifera" numFmtId="0">
      <sharedItems containsSemiMixedTypes="0" containsString="0" containsNumber="1" containsInteger="1" minValue="5" maxValue="13"/>
    </cacheField>
    <cacheField name="Protozoa" numFmtId="0">
      <sharedItems containsSemiMixedTypes="0" containsString="0" containsNumber="1" containsInteger="1" minValue="1" maxValue="7"/>
    </cacheField>
    <cacheField name="pH" numFmtId="0">
      <sharedItems containsSemiMixedTypes="0" containsString="0" containsNumber="1" minValue="6" maxValue="7.4"/>
    </cacheField>
    <cacheField name="Temperature" numFmtId="0">
      <sharedItems containsSemiMixedTypes="0" containsString="0" containsNumber="1" minValue="25.8" maxValue="29"/>
    </cacheField>
    <cacheField name="Dissolved Oxygen (DO)" numFmtId="0">
      <sharedItems containsSemiMixedTypes="0" containsString="0" containsNumber="1" minValue="4.5" maxValue="65.3"/>
    </cacheField>
    <cacheField name="Biochemical Oxygen Demand (BOD)" numFmtId="0">
      <sharedItems containsSemiMixedTypes="0" containsString="0" containsNumber="1" minValue="6.5" maxValue="124.6"/>
    </cacheField>
    <cacheField name="Turbidity" numFmtId="0">
      <sharedItems containsSemiMixedTypes="0" containsString="0" containsNumber="1" containsInteger="1" minValue="30" maxValue="72"/>
    </cacheField>
    <cacheField name="Total Suspended Solids (TSS)" numFmtId="0">
      <sharedItems containsSemiMixedTypes="0" containsString="0" containsNumber="1" minValue="2.1" maxValue="11"/>
    </cacheField>
    <cacheField name="Electrical Conductivity (EC)" numFmtId="0">
      <sharedItems containsSemiMixedTypes="0" containsString="0" containsNumber="1" containsInteger="1" minValue="350" maxValue="910"/>
    </cacheField>
    <cacheField name="Cu (mg/L)" numFmtId="0">
      <sharedItems containsSemiMixedTypes="0" containsString="0" containsNumber="1" minValue="5.0000000000000001E-4" maxValue="1.4E-2"/>
    </cacheField>
    <cacheField name="Cr (mg/L)" numFmtId="0">
      <sharedItems containsSemiMixedTypes="0" containsString="0" containsNumber="1" minValue="5.0000000000000001E-4" maxValue="5.0000000000000001E-4"/>
    </cacheField>
    <cacheField name="Mn (mg/L)" numFmtId="0">
      <sharedItems containsSemiMixedTypes="0" containsString="0" containsNumber="1" minValue="3.1E-2" maxValue="0.53700000000000003"/>
    </cacheField>
    <cacheField name="Ni (mg/L)" numFmtId="0">
      <sharedItems containsSemiMixedTypes="0" containsString="0" containsNumber="1" minValue="5.0000000000000001E-4" maxValue="3.5000000000000003E-2"/>
    </cacheField>
    <cacheField name="Pb (mg/L)" numFmtId="0">
      <sharedItems containsSemiMixedTypes="0" containsString="0" containsNumber="1" minValue="5.0000000000000001E-4" maxValue="5.0000000000000001E-4"/>
    </cacheField>
    <cacheField name="Zn (mg/L)" numFmtId="0">
      <sharedItems containsSemiMixedTypes="0" containsString="0" containsNumber="1" minValue="1.9E-2" maxValue="0.24299999999999999"/>
    </cacheField>
    <cacheField name="RICHNESS" numFmtId="0">
      <sharedItems containsSemiMixedTypes="0" containsString="0" containsNumber="1" containsInteger="1" minValue="1" maxValue="18"/>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2">
  <r>
    <s v="Stn1"/>
    <s v="JULY"/>
    <n v="1"/>
    <n v="0"/>
    <n v="0"/>
    <n v="0"/>
    <n v="0"/>
    <n v="0"/>
    <n v="0"/>
    <n v="0"/>
    <n v="0"/>
    <n v="0"/>
    <n v="0"/>
    <n v="1"/>
    <n v="0"/>
    <n v="0"/>
    <n v="0"/>
    <n v="0"/>
    <n v="0"/>
    <n v="0"/>
    <n v="0"/>
    <n v="0"/>
    <n v="0"/>
    <n v="0"/>
    <n v="0"/>
    <n v="0"/>
    <n v="0"/>
    <n v="0"/>
    <n v="0"/>
    <n v="0"/>
    <n v="0"/>
    <n v="0"/>
    <n v="0"/>
    <n v="1"/>
    <n v="0"/>
    <n v="0"/>
    <n v="0"/>
    <n v="0"/>
    <n v="1"/>
    <n v="0"/>
    <n v="1"/>
    <n v="0"/>
    <n v="1"/>
    <n v="0"/>
    <n v="0"/>
    <n v="0"/>
    <n v="0"/>
    <n v="0"/>
    <n v="1"/>
    <n v="0"/>
    <n v="0"/>
    <n v="0"/>
    <n v="0"/>
    <n v="0"/>
    <n v="0"/>
    <n v="0"/>
    <n v="7"/>
  </r>
  <r>
    <s v="Stn2"/>
    <s v="JULY"/>
    <n v="1"/>
    <n v="0"/>
    <n v="0"/>
    <n v="0"/>
    <n v="0"/>
    <n v="0"/>
    <n v="0"/>
    <n v="0"/>
    <n v="0"/>
    <n v="0"/>
    <n v="0"/>
    <n v="0"/>
    <n v="0"/>
    <n v="0"/>
    <n v="1"/>
    <n v="0"/>
    <n v="1"/>
    <n v="0"/>
    <n v="0"/>
    <n v="0"/>
    <n v="0"/>
    <n v="0"/>
    <n v="0"/>
    <n v="0"/>
    <n v="0"/>
    <n v="0"/>
    <n v="0"/>
    <n v="0"/>
    <n v="0"/>
    <n v="0"/>
    <n v="0"/>
    <n v="0"/>
    <n v="0"/>
    <n v="0"/>
    <n v="0"/>
    <n v="0"/>
    <n v="1"/>
    <n v="0"/>
    <n v="1"/>
    <n v="1"/>
    <n v="0"/>
    <n v="0"/>
    <n v="0"/>
    <n v="1"/>
    <n v="0"/>
    <n v="0"/>
    <n v="0"/>
    <n v="1"/>
    <n v="0"/>
    <n v="0"/>
    <n v="0"/>
    <n v="0"/>
    <n v="0"/>
    <n v="0"/>
    <n v="8"/>
  </r>
  <r>
    <s v="Stn3"/>
    <s v="JUNE"/>
    <n v="0"/>
    <n v="0"/>
    <n v="0"/>
    <n v="0"/>
    <n v="0"/>
    <n v="0"/>
    <n v="0"/>
    <n v="0"/>
    <n v="0"/>
    <n v="0"/>
    <n v="0"/>
    <n v="0"/>
    <n v="0"/>
    <n v="0"/>
    <n v="0"/>
    <n v="0"/>
    <n v="0"/>
    <n v="0"/>
    <n v="0"/>
    <n v="0"/>
    <n v="0"/>
    <n v="0"/>
    <n v="0"/>
    <n v="0"/>
    <n v="1"/>
    <n v="0"/>
    <n v="0"/>
    <n v="0"/>
    <n v="0"/>
    <n v="0"/>
    <n v="0"/>
    <n v="1"/>
    <n v="0"/>
    <n v="0"/>
    <n v="0"/>
    <n v="0"/>
    <n v="0"/>
    <n v="0"/>
    <n v="0"/>
    <n v="0"/>
    <n v="1"/>
    <n v="0"/>
    <n v="0"/>
    <n v="0"/>
    <n v="0"/>
    <n v="0"/>
    <n v="0"/>
    <n v="0"/>
    <n v="0"/>
    <n v="0"/>
    <n v="0"/>
    <n v="0"/>
    <n v="0"/>
    <n v="1"/>
    <n v="4"/>
  </r>
  <r>
    <s v="Stn4"/>
    <s v="JULY"/>
    <n v="0"/>
    <n v="0"/>
    <n v="0"/>
    <n v="0"/>
    <n v="1"/>
    <n v="0"/>
    <n v="0"/>
    <n v="0"/>
    <n v="0"/>
    <n v="0"/>
    <n v="0"/>
    <n v="0"/>
    <n v="0"/>
    <n v="0"/>
    <n v="0"/>
    <n v="0"/>
    <n v="0"/>
    <n v="0"/>
    <n v="1"/>
    <n v="0"/>
    <n v="0"/>
    <n v="1"/>
    <n v="0"/>
    <n v="0"/>
    <n v="0"/>
    <n v="0"/>
    <n v="1"/>
    <n v="0"/>
    <n v="0"/>
    <n v="0"/>
    <n v="0"/>
    <n v="0"/>
    <n v="1"/>
    <n v="0"/>
    <n v="0"/>
    <n v="0"/>
    <n v="1"/>
    <n v="0"/>
    <n v="0"/>
    <n v="1"/>
    <n v="0"/>
    <n v="0"/>
    <n v="0"/>
    <n v="0"/>
    <n v="0"/>
    <n v="0"/>
    <n v="0"/>
    <n v="0"/>
    <n v="0"/>
    <n v="0"/>
    <n v="0"/>
    <n v="0"/>
    <n v="0"/>
    <n v="0"/>
    <n v="7"/>
  </r>
  <r>
    <s v="Stn5"/>
    <s v="JULY"/>
    <n v="1"/>
    <n v="0"/>
    <n v="0"/>
    <n v="0"/>
    <n v="0"/>
    <n v="0"/>
    <n v="0"/>
    <n v="1"/>
    <n v="0"/>
    <n v="0"/>
    <n v="0"/>
    <n v="0"/>
    <n v="0"/>
    <n v="0"/>
    <n v="0"/>
    <n v="1"/>
    <n v="0"/>
    <n v="0"/>
    <n v="0"/>
    <n v="1"/>
    <n v="0"/>
    <n v="0"/>
    <n v="0"/>
    <n v="1"/>
    <n v="0"/>
    <n v="0"/>
    <n v="0"/>
    <n v="0"/>
    <n v="1"/>
    <n v="1"/>
    <n v="0"/>
    <n v="0"/>
    <n v="0"/>
    <n v="0"/>
    <n v="0"/>
    <n v="0"/>
    <n v="1"/>
    <n v="0"/>
    <n v="1"/>
    <n v="1"/>
    <n v="0"/>
    <n v="0"/>
    <n v="1"/>
    <n v="0"/>
    <n v="0"/>
    <n v="0"/>
    <n v="0"/>
    <n v="0"/>
    <n v="0"/>
    <n v="0"/>
    <n v="0"/>
    <n v="0"/>
    <n v="0"/>
    <n v="0"/>
    <n v="11"/>
  </r>
  <r>
    <s v="Stn6"/>
    <s v="JULY"/>
    <n v="0"/>
    <n v="0"/>
    <n v="1"/>
    <n v="0"/>
    <n v="0"/>
    <n v="0"/>
    <n v="0"/>
    <n v="0"/>
    <n v="0"/>
    <n v="0"/>
    <n v="1"/>
    <n v="0"/>
    <n v="0"/>
    <n v="0"/>
    <n v="0"/>
    <n v="0"/>
    <n v="0"/>
    <n v="0"/>
    <n v="0"/>
    <n v="0"/>
    <n v="0"/>
    <n v="0"/>
    <n v="0"/>
    <n v="0"/>
    <n v="0"/>
    <n v="0"/>
    <n v="0"/>
    <n v="0"/>
    <n v="0"/>
    <n v="0"/>
    <n v="0"/>
    <n v="0"/>
    <n v="0"/>
    <n v="0"/>
    <n v="0"/>
    <n v="1"/>
    <n v="0"/>
    <n v="0"/>
    <n v="0"/>
    <n v="0"/>
    <n v="0"/>
    <n v="0"/>
    <n v="0"/>
    <n v="1"/>
    <n v="0"/>
    <n v="0"/>
    <n v="0"/>
    <n v="0"/>
    <n v="0"/>
    <n v="0"/>
    <n v="0"/>
    <n v="1"/>
    <n v="0"/>
    <n v="0"/>
    <n v="5"/>
  </r>
  <r>
    <s v="Stn7"/>
    <s v="JULY"/>
    <n v="1"/>
    <n v="0"/>
    <n v="0"/>
    <n v="0"/>
    <n v="0"/>
    <n v="0"/>
    <n v="0"/>
    <n v="0"/>
    <n v="0"/>
    <n v="0"/>
    <n v="0"/>
    <n v="0"/>
    <n v="0"/>
    <n v="0"/>
    <n v="0"/>
    <n v="0"/>
    <n v="0"/>
    <n v="0"/>
    <n v="0"/>
    <n v="0"/>
    <n v="0"/>
    <n v="0"/>
    <n v="0"/>
    <n v="0"/>
    <n v="0"/>
    <n v="0"/>
    <n v="0"/>
    <n v="0"/>
    <n v="0"/>
    <n v="0"/>
    <n v="0"/>
    <n v="0"/>
    <n v="0"/>
    <n v="0"/>
    <n v="0"/>
    <n v="0"/>
    <n v="0"/>
    <n v="0"/>
    <n v="0"/>
    <n v="0"/>
    <n v="1"/>
    <n v="0"/>
    <n v="0"/>
    <n v="0"/>
    <n v="0"/>
    <n v="0"/>
    <n v="0"/>
    <n v="0"/>
    <n v="0"/>
    <n v="0"/>
    <n v="0"/>
    <n v="0"/>
    <n v="0"/>
    <n v="0"/>
    <n v="2"/>
  </r>
  <r>
    <s v="Stn8"/>
    <s v="JULY"/>
    <n v="1"/>
    <n v="0"/>
    <n v="0"/>
    <n v="0"/>
    <n v="0"/>
    <n v="0"/>
    <n v="0"/>
    <n v="0"/>
    <n v="0"/>
    <n v="0"/>
    <n v="0"/>
    <n v="0"/>
    <n v="0"/>
    <n v="0"/>
    <n v="0"/>
    <n v="0"/>
    <n v="0"/>
    <n v="0"/>
    <n v="0"/>
    <n v="0"/>
    <n v="0"/>
    <n v="0"/>
    <n v="0"/>
    <n v="0"/>
    <n v="0"/>
    <n v="0"/>
    <n v="0"/>
    <n v="0"/>
    <n v="0"/>
    <n v="0"/>
    <n v="0"/>
    <n v="0"/>
    <n v="0"/>
    <n v="0"/>
    <n v="0"/>
    <n v="0"/>
    <n v="0"/>
    <n v="0"/>
    <n v="0"/>
    <n v="0"/>
    <n v="0"/>
    <n v="0"/>
    <n v="0"/>
    <n v="0"/>
    <n v="0"/>
    <n v="0"/>
    <n v="0"/>
    <n v="0"/>
    <n v="0"/>
    <n v="0"/>
    <n v="0"/>
    <n v="0"/>
    <n v="0"/>
    <n v="0"/>
    <n v="1"/>
  </r>
  <r>
    <s v="Stn9"/>
    <s v="JULY"/>
    <n v="1"/>
    <n v="0"/>
    <n v="0"/>
    <n v="1"/>
    <n v="0"/>
    <n v="0"/>
    <n v="0"/>
    <n v="0"/>
    <n v="0"/>
    <n v="1"/>
    <n v="0"/>
    <n v="1"/>
    <n v="0"/>
    <n v="0"/>
    <n v="0"/>
    <n v="0"/>
    <n v="0"/>
    <n v="0"/>
    <n v="0"/>
    <n v="0"/>
    <n v="0"/>
    <n v="0"/>
    <n v="0"/>
    <n v="0"/>
    <n v="0"/>
    <n v="0"/>
    <n v="0"/>
    <n v="0"/>
    <n v="0"/>
    <n v="0"/>
    <n v="0"/>
    <n v="0"/>
    <n v="0"/>
    <n v="0"/>
    <n v="0"/>
    <n v="0"/>
    <n v="0"/>
    <n v="0"/>
    <n v="1"/>
    <n v="0"/>
    <n v="0"/>
    <n v="0"/>
    <n v="0"/>
    <n v="0"/>
    <n v="0"/>
    <n v="0"/>
    <n v="0"/>
    <n v="0"/>
    <n v="0"/>
    <n v="1"/>
    <n v="0"/>
    <n v="0"/>
    <n v="0"/>
    <n v="1"/>
    <n v="7"/>
  </r>
  <r>
    <s v="Stn10"/>
    <s v="JULY"/>
    <n v="0"/>
    <n v="1"/>
    <n v="0"/>
    <n v="0"/>
    <n v="0"/>
    <n v="0"/>
    <n v="1"/>
    <n v="1"/>
    <n v="0"/>
    <n v="1"/>
    <n v="1"/>
    <n v="0"/>
    <n v="1"/>
    <n v="0"/>
    <n v="0"/>
    <n v="0"/>
    <n v="0"/>
    <n v="0"/>
    <n v="0"/>
    <n v="0"/>
    <n v="0"/>
    <n v="0"/>
    <n v="0"/>
    <n v="0"/>
    <n v="0"/>
    <n v="0"/>
    <n v="0"/>
    <n v="1"/>
    <n v="0"/>
    <n v="0"/>
    <n v="0"/>
    <n v="0"/>
    <n v="0"/>
    <n v="0"/>
    <n v="0"/>
    <n v="0"/>
    <n v="1"/>
    <n v="1"/>
    <n v="1"/>
    <n v="0"/>
    <n v="1"/>
    <n v="0"/>
    <n v="0"/>
    <n v="0"/>
    <n v="0"/>
    <n v="0"/>
    <n v="1"/>
    <n v="0"/>
    <n v="0"/>
    <n v="0"/>
    <n v="0"/>
    <n v="0"/>
    <n v="0"/>
    <n v="0"/>
    <n v="12"/>
  </r>
  <r>
    <s v="Stn1"/>
    <s v="SEPTEMBER"/>
    <n v="1"/>
    <n v="0"/>
    <n v="0"/>
    <n v="0"/>
    <n v="0"/>
    <n v="0"/>
    <n v="0"/>
    <n v="1"/>
    <n v="0"/>
    <n v="1"/>
    <n v="0"/>
    <n v="0"/>
    <n v="0"/>
    <n v="0"/>
    <n v="0"/>
    <n v="0"/>
    <n v="0"/>
    <n v="0"/>
    <n v="1"/>
    <n v="0"/>
    <n v="0"/>
    <n v="0"/>
    <n v="1"/>
    <n v="0"/>
    <n v="0"/>
    <n v="1"/>
    <n v="1"/>
    <n v="0"/>
    <n v="0"/>
    <n v="0"/>
    <n v="0"/>
    <n v="0"/>
    <n v="0"/>
    <n v="1"/>
    <n v="0"/>
    <n v="0"/>
    <n v="1"/>
    <n v="0"/>
    <n v="0"/>
    <n v="0"/>
    <n v="0"/>
    <n v="1"/>
    <n v="0"/>
    <n v="0"/>
    <n v="0"/>
    <n v="0"/>
    <n v="0"/>
    <n v="1"/>
    <n v="0"/>
    <n v="0"/>
    <n v="0"/>
    <n v="0"/>
    <n v="1"/>
    <n v="0"/>
    <n v="12"/>
  </r>
  <r>
    <s v="Stn2"/>
    <s v="SEPTEMBER"/>
    <n v="1"/>
    <n v="0"/>
    <n v="0"/>
    <n v="0"/>
    <n v="0"/>
    <n v="0"/>
    <n v="0"/>
    <n v="1"/>
    <n v="1"/>
    <n v="0"/>
    <n v="1"/>
    <n v="0"/>
    <n v="0"/>
    <n v="0"/>
    <n v="1"/>
    <n v="0"/>
    <n v="1"/>
    <n v="1"/>
    <n v="1"/>
    <n v="0"/>
    <n v="0"/>
    <n v="0"/>
    <n v="0"/>
    <n v="0"/>
    <n v="0"/>
    <n v="0"/>
    <n v="0"/>
    <n v="0"/>
    <n v="0"/>
    <n v="0"/>
    <n v="0"/>
    <n v="0"/>
    <n v="0"/>
    <n v="0"/>
    <n v="0"/>
    <n v="0"/>
    <n v="0"/>
    <n v="0"/>
    <n v="0"/>
    <n v="0"/>
    <n v="0"/>
    <n v="1"/>
    <n v="0"/>
    <n v="0"/>
    <n v="0"/>
    <n v="0"/>
    <n v="0"/>
    <n v="0"/>
    <n v="0"/>
    <n v="0"/>
    <n v="0"/>
    <n v="0"/>
    <n v="0"/>
    <n v="1"/>
    <n v="10"/>
  </r>
  <r>
    <s v="Stn3"/>
    <s v="SEPTEMBER"/>
    <n v="1"/>
    <n v="0"/>
    <n v="0"/>
    <n v="0"/>
    <n v="0"/>
    <n v="0"/>
    <n v="0"/>
    <n v="0"/>
    <n v="0"/>
    <n v="0"/>
    <n v="0"/>
    <n v="0"/>
    <n v="0"/>
    <n v="0"/>
    <n v="0"/>
    <n v="0"/>
    <n v="1"/>
    <n v="1"/>
    <n v="0"/>
    <n v="0"/>
    <n v="0"/>
    <n v="0"/>
    <n v="0"/>
    <n v="0"/>
    <n v="0"/>
    <n v="0"/>
    <n v="0"/>
    <n v="0"/>
    <n v="0"/>
    <n v="0"/>
    <n v="0"/>
    <n v="0"/>
    <n v="0"/>
    <n v="0"/>
    <n v="0"/>
    <n v="1"/>
    <n v="1"/>
    <n v="0"/>
    <n v="0"/>
    <n v="0"/>
    <n v="0"/>
    <n v="0"/>
    <n v="0"/>
    <n v="0"/>
    <n v="0"/>
    <n v="0"/>
    <n v="0"/>
    <n v="0"/>
    <n v="0"/>
    <n v="0"/>
    <n v="0"/>
    <n v="1"/>
    <n v="0"/>
    <n v="1"/>
    <n v="7"/>
  </r>
  <r>
    <s v="Stn4"/>
    <s v="SEPTEMBER"/>
    <n v="0"/>
    <n v="0"/>
    <n v="0"/>
    <n v="0"/>
    <n v="0"/>
    <n v="1"/>
    <n v="0"/>
    <n v="1"/>
    <n v="0"/>
    <n v="1"/>
    <n v="1"/>
    <n v="1"/>
    <n v="0"/>
    <n v="0"/>
    <n v="0"/>
    <n v="0"/>
    <n v="0"/>
    <n v="0"/>
    <n v="0"/>
    <n v="0"/>
    <n v="0"/>
    <n v="0"/>
    <n v="0"/>
    <n v="0"/>
    <n v="0"/>
    <n v="0"/>
    <n v="0"/>
    <n v="0"/>
    <n v="1"/>
    <n v="0"/>
    <n v="0"/>
    <n v="0"/>
    <n v="0"/>
    <n v="0"/>
    <n v="1"/>
    <n v="0"/>
    <n v="1"/>
    <n v="0"/>
    <n v="0"/>
    <n v="0"/>
    <n v="0"/>
    <n v="0"/>
    <n v="0"/>
    <n v="0"/>
    <n v="1"/>
    <n v="0"/>
    <n v="0"/>
    <n v="0"/>
    <n v="0"/>
    <n v="0"/>
    <n v="0"/>
    <n v="0"/>
    <n v="0"/>
    <n v="0"/>
    <n v="9"/>
  </r>
  <r>
    <s v="Stn5"/>
    <s v="SEPTEMBER"/>
    <n v="1"/>
    <n v="0"/>
    <n v="1"/>
    <n v="0"/>
    <n v="0"/>
    <n v="0"/>
    <n v="0"/>
    <n v="0"/>
    <n v="0"/>
    <n v="0"/>
    <n v="1"/>
    <n v="0"/>
    <n v="0"/>
    <n v="0"/>
    <n v="0"/>
    <n v="0"/>
    <n v="1"/>
    <n v="1"/>
    <n v="0"/>
    <n v="0"/>
    <n v="0"/>
    <n v="0"/>
    <n v="0"/>
    <n v="1"/>
    <n v="0"/>
    <n v="0"/>
    <n v="0"/>
    <n v="0"/>
    <n v="0"/>
    <n v="0"/>
    <n v="0"/>
    <n v="0"/>
    <n v="1"/>
    <n v="0"/>
    <n v="0"/>
    <n v="0"/>
    <n v="1"/>
    <n v="0"/>
    <n v="0"/>
    <n v="0"/>
    <n v="0"/>
    <n v="0"/>
    <n v="0"/>
    <n v="0"/>
    <n v="0"/>
    <n v="0"/>
    <n v="0"/>
    <n v="0"/>
    <n v="0"/>
    <n v="0"/>
    <n v="0"/>
    <n v="0"/>
    <n v="1"/>
    <n v="1"/>
    <n v="10"/>
  </r>
  <r>
    <s v="Stn6"/>
    <s v="SEPTEMBER"/>
    <n v="0"/>
    <n v="0"/>
    <n v="1"/>
    <n v="0"/>
    <n v="0"/>
    <n v="1"/>
    <n v="0"/>
    <n v="0"/>
    <n v="1"/>
    <n v="0"/>
    <n v="1"/>
    <n v="0"/>
    <n v="0"/>
    <n v="0"/>
    <n v="0"/>
    <n v="0"/>
    <n v="0"/>
    <n v="1"/>
    <n v="0"/>
    <n v="0"/>
    <n v="0"/>
    <n v="0"/>
    <n v="0"/>
    <n v="0"/>
    <n v="0"/>
    <n v="0"/>
    <n v="0"/>
    <n v="0"/>
    <n v="0"/>
    <n v="1"/>
    <n v="1"/>
    <n v="0"/>
    <n v="0"/>
    <n v="0"/>
    <n v="1"/>
    <n v="1"/>
    <n v="1"/>
    <n v="0"/>
    <n v="1"/>
    <n v="0"/>
    <n v="0"/>
    <n v="0"/>
    <n v="0"/>
    <n v="1"/>
    <n v="0"/>
    <n v="0"/>
    <n v="0"/>
    <n v="0"/>
    <n v="0"/>
    <n v="0"/>
    <n v="0"/>
    <n v="0"/>
    <n v="0"/>
    <n v="0"/>
    <n v="12"/>
  </r>
  <r>
    <s v="Stn7"/>
    <s v="SEPTEMBER"/>
    <n v="1"/>
    <n v="0"/>
    <n v="0"/>
    <n v="0"/>
    <n v="0"/>
    <n v="0"/>
    <n v="0"/>
    <n v="0"/>
    <n v="0"/>
    <n v="1"/>
    <n v="1"/>
    <n v="0"/>
    <n v="0"/>
    <n v="0"/>
    <n v="0"/>
    <n v="0"/>
    <n v="0"/>
    <n v="1"/>
    <n v="0"/>
    <n v="0"/>
    <n v="0"/>
    <n v="0"/>
    <n v="0"/>
    <n v="0"/>
    <n v="0"/>
    <n v="0"/>
    <n v="0"/>
    <n v="0"/>
    <n v="0"/>
    <n v="0"/>
    <n v="0"/>
    <n v="0"/>
    <n v="0"/>
    <n v="1"/>
    <n v="0"/>
    <n v="0"/>
    <n v="1"/>
    <n v="0"/>
    <n v="0"/>
    <n v="0"/>
    <n v="0"/>
    <n v="1"/>
    <n v="0"/>
    <n v="0"/>
    <n v="0"/>
    <n v="0"/>
    <n v="0"/>
    <n v="0"/>
    <n v="0"/>
    <n v="0"/>
    <n v="0"/>
    <n v="0"/>
    <n v="0"/>
    <n v="0"/>
    <n v="7"/>
  </r>
  <r>
    <s v="Stn8"/>
    <s v="SEPTEMBER"/>
    <n v="1"/>
    <n v="0"/>
    <n v="0"/>
    <n v="1"/>
    <n v="0"/>
    <n v="1"/>
    <n v="0"/>
    <n v="0"/>
    <n v="0"/>
    <n v="0"/>
    <n v="0"/>
    <n v="0"/>
    <n v="0"/>
    <n v="1"/>
    <n v="0"/>
    <n v="0"/>
    <n v="1"/>
    <n v="1"/>
    <n v="0"/>
    <n v="0"/>
    <n v="0"/>
    <n v="0"/>
    <n v="0"/>
    <n v="0"/>
    <n v="0"/>
    <n v="1"/>
    <n v="0"/>
    <n v="0"/>
    <n v="0"/>
    <n v="0"/>
    <n v="0"/>
    <n v="0"/>
    <n v="0"/>
    <n v="0"/>
    <n v="0"/>
    <n v="0"/>
    <n v="0"/>
    <n v="0"/>
    <n v="0"/>
    <n v="0"/>
    <n v="1"/>
    <n v="0"/>
    <n v="0"/>
    <n v="0"/>
    <n v="0"/>
    <n v="1"/>
    <n v="1"/>
    <n v="0"/>
    <n v="1"/>
    <n v="0"/>
    <n v="1"/>
    <n v="0"/>
    <n v="0"/>
    <n v="1"/>
    <n v="13"/>
  </r>
  <r>
    <s v="Stn9"/>
    <s v="SEPTEMBER"/>
    <n v="0"/>
    <n v="0"/>
    <n v="1"/>
    <n v="0"/>
    <n v="0"/>
    <n v="0"/>
    <n v="1"/>
    <n v="0"/>
    <n v="0"/>
    <n v="0"/>
    <n v="0"/>
    <n v="0"/>
    <n v="0"/>
    <n v="0"/>
    <n v="0"/>
    <n v="0"/>
    <n v="1"/>
    <n v="0"/>
    <n v="1"/>
    <n v="0"/>
    <n v="0"/>
    <n v="0"/>
    <n v="0"/>
    <n v="0"/>
    <n v="0"/>
    <n v="0"/>
    <n v="0"/>
    <n v="0"/>
    <n v="0"/>
    <n v="1"/>
    <n v="0"/>
    <n v="0"/>
    <n v="0"/>
    <n v="0"/>
    <n v="1"/>
    <n v="0"/>
    <n v="0"/>
    <n v="1"/>
    <n v="0"/>
    <n v="0"/>
    <n v="0"/>
    <n v="0"/>
    <n v="0"/>
    <n v="0"/>
    <n v="0"/>
    <n v="0"/>
    <n v="1"/>
    <n v="0"/>
    <n v="0"/>
    <n v="0"/>
    <n v="0"/>
    <n v="0"/>
    <n v="1"/>
    <n v="1"/>
    <n v="10"/>
  </r>
  <r>
    <s v="Stn10"/>
    <s v="SEPTEMBER"/>
    <n v="1"/>
    <n v="0"/>
    <n v="1"/>
    <n v="0"/>
    <n v="0"/>
    <n v="1"/>
    <n v="0"/>
    <n v="1"/>
    <n v="0"/>
    <n v="0"/>
    <n v="0"/>
    <n v="0"/>
    <n v="1"/>
    <n v="0"/>
    <n v="1"/>
    <n v="0"/>
    <n v="0"/>
    <n v="0"/>
    <n v="0"/>
    <n v="0"/>
    <n v="0"/>
    <n v="0"/>
    <n v="0"/>
    <n v="1"/>
    <n v="0"/>
    <n v="1"/>
    <n v="0"/>
    <n v="0"/>
    <n v="0"/>
    <n v="0"/>
    <n v="0"/>
    <n v="0"/>
    <n v="0"/>
    <n v="0"/>
    <n v="0"/>
    <n v="0"/>
    <n v="0"/>
    <n v="0"/>
    <n v="0"/>
    <n v="0"/>
    <n v="0"/>
    <n v="0"/>
    <n v="0"/>
    <n v="0"/>
    <n v="0"/>
    <n v="1"/>
    <n v="1"/>
    <n v="0"/>
    <n v="0"/>
    <n v="0"/>
    <n v="0"/>
    <n v="0"/>
    <n v="0"/>
    <n v="0"/>
    <n v="10"/>
  </r>
  <r>
    <s v="Stn1"/>
    <s v="NOVEMBER"/>
    <n v="1"/>
    <n v="0"/>
    <n v="0"/>
    <n v="0"/>
    <n v="0"/>
    <n v="0"/>
    <n v="0"/>
    <n v="0"/>
    <n v="0"/>
    <n v="0"/>
    <n v="0"/>
    <n v="0"/>
    <n v="0"/>
    <n v="0"/>
    <n v="0"/>
    <n v="0"/>
    <n v="0"/>
    <n v="1"/>
    <n v="0"/>
    <n v="1"/>
    <n v="0"/>
    <n v="0"/>
    <n v="0"/>
    <n v="0"/>
    <n v="0"/>
    <n v="0"/>
    <n v="0"/>
    <n v="0"/>
    <n v="0"/>
    <n v="0"/>
    <n v="0"/>
    <n v="0"/>
    <n v="0"/>
    <n v="0"/>
    <n v="1"/>
    <n v="0"/>
    <n v="1"/>
    <n v="0"/>
    <n v="1"/>
    <n v="0"/>
    <n v="0"/>
    <n v="0"/>
    <n v="0"/>
    <n v="1"/>
    <n v="0"/>
    <n v="1"/>
    <n v="0"/>
    <n v="0"/>
    <n v="0"/>
    <n v="0"/>
    <n v="0"/>
    <n v="0"/>
    <n v="0"/>
    <n v="0"/>
    <n v="8"/>
  </r>
  <r>
    <s v="Stn2"/>
    <s v="NOVEMBER"/>
    <n v="1"/>
    <n v="0"/>
    <n v="0"/>
    <n v="0"/>
    <n v="0"/>
    <n v="0"/>
    <n v="1"/>
    <n v="0"/>
    <n v="0"/>
    <n v="1"/>
    <n v="0"/>
    <n v="1"/>
    <n v="0"/>
    <n v="1"/>
    <n v="1"/>
    <n v="0"/>
    <n v="0"/>
    <n v="0"/>
    <n v="0"/>
    <n v="0"/>
    <n v="0"/>
    <n v="0"/>
    <n v="0"/>
    <n v="0"/>
    <n v="0"/>
    <n v="0"/>
    <n v="0"/>
    <n v="0"/>
    <n v="0"/>
    <n v="0"/>
    <n v="0"/>
    <n v="0"/>
    <n v="0"/>
    <n v="1"/>
    <n v="1"/>
    <n v="1"/>
    <n v="1"/>
    <n v="0"/>
    <n v="0"/>
    <n v="1"/>
    <n v="0"/>
    <n v="0"/>
    <n v="1"/>
    <n v="1"/>
    <n v="1"/>
    <n v="0"/>
    <n v="0"/>
    <n v="0"/>
    <n v="0"/>
    <n v="0"/>
    <n v="1"/>
    <n v="0"/>
    <n v="0"/>
    <n v="0"/>
    <n v="15"/>
  </r>
  <r>
    <s v="Stn3"/>
    <s v="NOVEMBER"/>
    <n v="0"/>
    <n v="0"/>
    <n v="0"/>
    <n v="0"/>
    <n v="0"/>
    <n v="0"/>
    <n v="0"/>
    <n v="0"/>
    <n v="0"/>
    <n v="0"/>
    <n v="0"/>
    <n v="0"/>
    <n v="0"/>
    <n v="0"/>
    <n v="0"/>
    <n v="0"/>
    <n v="0"/>
    <n v="0"/>
    <n v="0"/>
    <n v="1"/>
    <n v="0"/>
    <n v="0"/>
    <n v="0"/>
    <n v="0"/>
    <n v="0"/>
    <n v="0"/>
    <n v="0"/>
    <n v="0"/>
    <n v="1"/>
    <n v="0"/>
    <n v="0"/>
    <n v="0"/>
    <n v="1"/>
    <n v="0"/>
    <n v="0"/>
    <n v="0"/>
    <n v="0"/>
    <n v="1"/>
    <n v="0"/>
    <n v="1"/>
    <n v="0"/>
    <n v="0"/>
    <n v="0"/>
    <n v="0"/>
    <n v="0"/>
    <n v="1"/>
    <n v="0"/>
    <n v="0"/>
    <n v="0"/>
    <n v="0"/>
    <n v="0"/>
    <n v="1"/>
    <n v="0"/>
    <n v="0"/>
    <n v="7"/>
  </r>
  <r>
    <s v="Stn4"/>
    <s v="NOVEMBER"/>
    <n v="0"/>
    <n v="0"/>
    <n v="1"/>
    <n v="0"/>
    <n v="0"/>
    <n v="1"/>
    <n v="1"/>
    <n v="0"/>
    <n v="0"/>
    <n v="0"/>
    <n v="0"/>
    <n v="0"/>
    <n v="0"/>
    <n v="0"/>
    <n v="0"/>
    <n v="1"/>
    <n v="0"/>
    <n v="0"/>
    <n v="0"/>
    <n v="0"/>
    <n v="0"/>
    <n v="0"/>
    <n v="0"/>
    <n v="1"/>
    <n v="1"/>
    <n v="0"/>
    <n v="1"/>
    <n v="0"/>
    <n v="1"/>
    <n v="0"/>
    <n v="0"/>
    <n v="0"/>
    <n v="0"/>
    <n v="0"/>
    <n v="0"/>
    <n v="0"/>
    <n v="1"/>
    <n v="0"/>
    <n v="0"/>
    <n v="1"/>
    <n v="1"/>
    <n v="0"/>
    <n v="0"/>
    <n v="0"/>
    <n v="0"/>
    <n v="0"/>
    <n v="1"/>
    <n v="0"/>
    <n v="0"/>
    <n v="0"/>
    <n v="1"/>
    <n v="0"/>
    <n v="0"/>
    <n v="0"/>
    <n v="13"/>
  </r>
  <r>
    <s v="Stn5"/>
    <s v="NOVEMBER"/>
    <n v="1"/>
    <n v="1"/>
    <n v="0"/>
    <n v="0"/>
    <n v="1"/>
    <n v="0"/>
    <n v="0"/>
    <n v="0"/>
    <n v="0"/>
    <n v="0"/>
    <n v="0"/>
    <n v="0"/>
    <n v="0"/>
    <n v="0"/>
    <n v="0"/>
    <n v="1"/>
    <n v="1"/>
    <n v="0"/>
    <n v="0"/>
    <n v="0"/>
    <n v="0"/>
    <n v="0"/>
    <n v="0"/>
    <n v="1"/>
    <n v="0"/>
    <n v="0"/>
    <n v="0"/>
    <n v="0"/>
    <n v="0"/>
    <n v="0"/>
    <n v="0"/>
    <n v="0"/>
    <n v="1"/>
    <n v="0"/>
    <n v="0"/>
    <n v="0"/>
    <n v="0"/>
    <n v="1"/>
    <n v="0"/>
    <n v="0"/>
    <n v="0"/>
    <n v="1"/>
    <n v="0"/>
    <n v="1"/>
    <n v="0"/>
    <n v="0"/>
    <n v="0"/>
    <n v="0"/>
    <n v="0"/>
    <n v="0"/>
    <n v="0"/>
    <n v="0"/>
    <n v="0"/>
    <n v="0"/>
    <n v="10"/>
  </r>
  <r>
    <s v="Stn6"/>
    <s v="NOVEMBER"/>
    <n v="1"/>
    <n v="0"/>
    <n v="0"/>
    <n v="0"/>
    <n v="0"/>
    <n v="1"/>
    <n v="0"/>
    <n v="0"/>
    <n v="0"/>
    <n v="0"/>
    <n v="0"/>
    <n v="0"/>
    <n v="0"/>
    <n v="0"/>
    <n v="0"/>
    <n v="0"/>
    <n v="1"/>
    <n v="0"/>
    <n v="0"/>
    <n v="1"/>
    <n v="0"/>
    <n v="0"/>
    <n v="0"/>
    <n v="0"/>
    <n v="1"/>
    <n v="0"/>
    <n v="0"/>
    <n v="1"/>
    <n v="0"/>
    <n v="1"/>
    <n v="0"/>
    <n v="0"/>
    <n v="0"/>
    <n v="0"/>
    <n v="0"/>
    <n v="0"/>
    <n v="0"/>
    <n v="0"/>
    <n v="1"/>
    <n v="0"/>
    <n v="0"/>
    <n v="0"/>
    <n v="0"/>
    <n v="0"/>
    <n v="0"/>
    <n v="0"/>
    <n v="1"/>
    <n v="1"/>
    <n v="0"/>
    <n v="0"/>
    <n v="0"/>
    <n v="0"/>
    <n v="0"/>
    <n v="1"/>
    <n v="11"/>
  </r>
  <r>
    <s v="Stn7"/>
    <s v="NOVEMBER"/>
    <n v="1"/>
    <n v="0"/>
    <n v="0"/>
    <n v="1"/>
    <n v="0"/>
    <n v="1"/>
    <n v="1"/>
    <n v="1"/>
    <n v="0"/>
    <n v="0"/>
    <n v="0"/>
    <n v="1"/>
    <n v="0"/>
    <n v="0"/>
    <n v="0"/>
    <n v="0"/>
    <n v="0"/>
    <n v="0"/>
    <n v="1"/>
    <n v="1"/>
    <n v="0"/>
    <n v="0"/>
    <n v="0"/>
    <n v="1"/>
    <n v="0"/>
    <n v="0"/>
    <n v="0"/>
    <n v="1"/>
    <n v="0"/>
    <n v="1"/>
    <n v="0"/>
    <n v="1"/>
    <n v="0"/>
    <n v="0"/>
    <n v="1"/>
    <n v="1"/>
    <n v="0"/>
    <n v="1"/>
    <n v="0"/>
    <n v="0"/>
    <n v="0"/>
    <n v="0"/>
    <n v="1"/>
    <n v="0"/>
    <n v="0"/>
    <n v="0"/>
    <n v="0"/>
    <n v="0"/>
    <n v="0"/>
    <n v="0"/>
    <n v="0"/>
    <n v="0"/>
    <n v="1"/>
    <n v="1"/>
    <n v="18"/>
  </r>
  <r>
    <s v="Stn8"/>
    <s v="NOVEMBER"/>
    <n v="1"/>
    <n v="0"/>
    <n v="0"/>
    <n v="0"/>
    <n v="0"/>
    <n v="0"/>
    <n v="0"/>
    <n v="1"/>
    <n v="1"/>
    <n v="0"/>
    <n v="1"/>
    <n v="0"/>
    <n v="1"/>
    <n v="0"/>
    <n v="0"/>
    <n v="0"/>
    <n v="0"/>
    <n v="0"/>
    <n v="0"/>
    <n v="0"/>
    <n v="0"/>
    <n v="0"/>
    <n v="0"/>
    <n v="0"/>
    <n v="0"/>
    <n v="0"/>
    <n v="0"/>
    <n v="0"/>
    <n v="1"/>
    <n v="0"/>
    <n v="0"/>
    <n v="0"/>
    <n v="0"/>
    <n v="0"/>
    <n v="0"/>
    <n v="0"/>
    <n v="1"/>
    <n v="0"/>
    <n v="0"/>
    <n v="0"/>
    <n v="0"/>
    <n v="0"/>
    <n v="1"/>
    <n v="0"/>
    <n v="1"/>
    <n v="0"/>
    <n v="0"/>
    <n v="0"/>
    <n v="0"/>
    <n v="0"/>
    <n v="0"/>
    <n v="1"/>
    <n v="0"/>
    <n v="0"/>
    <n v="10"/>
  </r>
  <r>
    <s v="Stn9"/>
    <s v="NOVEMBER"/>
    <n v="0"/>
    <n v="0"/>
    <n v="0"/>
    <n v="0"/>
    <n v="0"/>
    <n v="0"/>
    <n v="1"/>
    <n v="0"/>
    <n v="0"/>
    <n v="1"/>
    <n v="0"/>
    <n v="0"/>
    <n v="0"/>
    <n v="0"/>
    <n v="0"/>
    <n v="0"/>
    <n v="0"/>
    <n v="1"/>
    <n v="0"/>
    <n v="0"/>
    <n v="0"/>
    <n v="0"/>
    <n v="1"/>
    <n v="0"/>
    <n v="0"/>
    <n v="0"/>
    <n v="1"/>
    <n v="0"/>
    <n v="1"/>
    <n v="0"/>
    <n v="0"/>
    <n v="0"/>
    <n v="0"/>
    <n v="1"/>
    <n v="1"/>
    <n v="0"/>
    <n v="0"/>
    <n v="0"/>
    <n v="0"/>
    <n v="0"/>
    <n v="0"/>
    <n v="0"/>
    <n v="1"/>
    <n v="0"/>
    <n v="0"/>
    <n v="0"/>
    <n v="1"/>
    <n v="1"/>
    <n v="1"/>
    <n v="0"/>
    <n v="1"/>
    <n v="0"/>
    <n v="0"/>
    <n v="1"/>
    <n v="14"/>
  </r>
  <r>
    <s v="Stn10"/>
    <s v="NOVEMBER"/>
    <n v="1"/>
    <n v="0"/>
    <n v="1"/>
    <n v="0"/>
    <n v="0"/>
    <n v="1"/>
    <n v="0"/>
    <n v="0"/>
    <n v="0"/>
    <n v="0"/>
    <n v="0"/>
    <n v="0"/>
    <n v="0"/>
    <n v="0"/>
    <n v="0"/>
    <n v="1"/>
    <n v="1"/>
    <n v="0"/>
    <n v="0"/>
    <n v="1"/>
    <n v="1"/>
    <n v="0"/>
    <n v="0"/>
    <n v="0"/>
    <n v="0"/>
    <n v="1"/>
    <n v="0"/>
    <n v="0"/>
    <n v="1"/>
    <n v="0"/>
    <n v="0"/>
    <n v="0"/>
    <n v="1"/>
    <n v="0"/>
    <n v="0"/>
    <n v="0"/>
    <n v="1"/>
    <n v="0"/>
    <n v="0"/>
    <n v="0"/>
    <n v="0"/>
    <n v="0"/>
    <n v="0"/>
    <n v="0"/>
    <n v="0"/>
    <n v="0"/>
    <n v="0"/>
    <n v="0"/>
    <n v="0"/>
    <n v="0"/>
    <n v="0"/>
    <n v="0"/>
    <n v="0"/>
    <n v="0"/>
    <n v="11"/>
  </r>
  <r>
    <m/>
    <m/>
    <m/>
    <m/>
    <m/>
    <m/>
    <m/>
    <m/>
    <m/>
    <m/>
    <m/>
    <m/>
    <m/>
    <m/>
    <m/>
    <m/>
    <m/>
    <m/>
    <m/>
    <m/>
    <m/>
    <m/>
    <m/>
    <m/>
    <m/>
    <m/>
    <m/>
    <m/>
    <m/>
    <m/>
    <m/>
    <m/>
    <m/>
    <m/>
    <m/>
    <m/>
    <m/>
    <m/>
    <m/>
    <m/>
    <m/>
    <m/>
    <m/>
    <m/>
    <m/>
    <m/>
    <m/>
    <m/>
    <m/>
    <m/>
    <m/>
    <m/>
    <m/>
    <m/>
    <m/>
    <m/>
    <m/>
  </r>
  <r>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30">
  <r>
    <x v="0"/>
    <x v="0"/>
    <n v="1"/>
    <n v="0"/>
    <n v="0"/>
    <n v="0"/>
    <n v="0"/>
    <n v="0"/>
    <n v="0"/>
    <n v="0"/>
    <n v="0"/>
    <n v="0"/>
    <n v="0"/>
    <n v="1"/>
    <n v="0"/>
    <n v="0"/>
    <n v="0"/>
    <n v="0"/>
    <n v="0"/>
    <n v="0"/>
    <n v="0"/>
    <n v="0"/>
    <n v="0"/>
    <n v="0"/>
    <n v="0"/>
    <n v="0"/>
    <n v="0"/>
    <n v="0"/>
    <n v="0"/>
    <n v="0"/>
    <n v="0"/>
    <n v="0"/>
    <n v="0"/>
    <n v="1"/>
    <n v="0"/>
    <n v="0"/>
    <n v="0"/>
    <n v="0"/>
    <n v="1"/>
    <n v="0"/>
    <n v="1"/>
    <n v="0"/>
    <n v="1"/>
    <n v="0"/>
    <n v="0"/>
    <n v="0"/>
    <n v="0"/>
    <n v="0"/>
    <n v="1"/>
    <n v="0"/>
    <n v="0"/>
    <n v="0"/>
    <n v="0"/>
    <n v="0"/>
    <n v="0"/>
    <n v="0"/>
    <n v="7"/>
  </r>
  <r>
    <x v="1"/>
    <x v="0"/>
    <n v="1"/>
    <n v="0"/>
    <n v="0"/>
    <n v="0"/>
    <n v="0"/>
    <n v="0"/>
    <n v="0"/>
    <n v="0"/>
    <n v="0"/>
    <n v="0"/>
    <n v="0"/>
    <n v="0"/>
    <n v="0"/>
    <n v="0"/>
    <n v="1"/>
    <n v="0"/>
    <n v="1"/>
    <n v="0"/>
    <n v="0"/>
    <n v="0"/>
    <n v="0"/>
    <n v="0"/>
    <n v="0"/>
    <n v="0"/>
    <n v="0"/>
    <n v="0"/>
    <n v="0"/>
    <n v="0"/>
    <n v="0"/>
    <n v="0"/>
    <n v="0"/>
    <n v="0"/>
    <n v="0"/>
    <n v="0"/>
    <n v="0"/>
    <n v="0"/>
    <n v="1"/>
    <n v="0"/>
    <n v="1"/>
    <n v="1"/>
    <n v="0"/>
    <n v="0"/>
    <n v="0"/>
    <n v="1"/>
    <n v="0"/>
    <n v="0"/>
    <n v="0"/>
    <n v="1"/>
    <n v="0"/>
    <n v="0"/>
    <n v="0"/>
    <n v="0"/>
    <n v="0"/>
    <n v="0"/>
    <n v="8"/>
  </r>
  <r>
    <x v="2"/>
    <x v="0"/>
    <n v="0"/>
    <n v="0"/>
    <n v="0"/>
    <n v="0"/>
    <n v="0"/>
    <n v="0"/>
    <n v="0"/>
    <n v="0"/>
    <n v="0"/>
    <n v="0"/>
    <n v="0"/>
    <n v="0"/>
    <n v="0"/>
    <n v="0"/>
    <n v="0"/>
    <n v="0"/>
    <n v="0"/>
    <n v="0"/>
    <n v="0"/>
    <n v="0"/>
    <n v="0"/>
    <n v="0"/>
    <n v="0"/>
    <n v="0"/>
    <n v="1"/>
    <n v="0"/>
    <n v="0"/>
    <n v="0"/>
    <n v="0"/>
    <n v="0"/>
    <n v="0"/>
    <n v="1"/>
    <n v="0"/>
    <n v="0"/>
    <n v="0"/>
    <n v="0"/>
    <n v="0"/>
    <n v="0"/>
    <n v="0"/>
    <n v="0"/>
    <n v="1"/>
    <n v="0"/>
    <n v="0"/>
    <n v="0"/>
    <n v="0"/>
    <n v="0"/>
    <n v="0"/>
    <n v="0"/>
    <n v="0"/>
    <n v="0"/>
    <n v="0"/>
    <n v="0"/>
    <n v="0"/>
    <n v="1"/>
    <n v="4"/>
  </r>
  <r>
    <x v="3"/>
    <x v="0"/>
    <n v="0"/>
    <n v="0"/>
    <n v="0"/>
    <n v="0"/>
    <n v="1"/>
    <n v="0"/>
    <n v="0"/>
    <n v="0"/>
    <n v="0"/>
    <n v="0"/>
    <n v="0"/>
    <n v="0"/>
    <n v="0"/>
    <n v="0"/>
    <n v="0"/>
    <n v="0"/>
    <n v="0"/>
    <n v="0"/>
    <n v="1"/>
    <n v="0"/>
    <n v="0"/>
    <n v="1"/>
    <n v="0"/>
    <n v="0"/>
    <n v="0"/>
    <n v="0"/>
    <n v="1"/>
    <n v="0"/>
    <n v="0"/>
    <n v="0"/>
    <n v="0"/>
    <n v="0"/>
    <n v="1"/>
    <n v="0"/>
    <n v="0"/>
    <n v="0"/>
    <n v="1"/>
    <n v="0"/>
    <n v="0"/>
    <n v="1"/>
    <n v="0"/>
    <n v="0"/>
    <n v="0"/>
    <n v="0"/>
    <n v="0"/>
    <n v="0"/>
    <n v="0"/>
    <n v="0"/>
    <n v="0"/>
    <n v="0"/>
    <n v="0"/>
    <n v="0"/>
    <n v="0"/>
    <n v="0"/>
    <n v="7"/>
  </r>
  <r>
    <x v="4"/>
    <x v="0"/>
    <n v="1"/>
    <n v="0"/>
    <n v="0"/>
    <n v="0"/>
    <n v="0"/>
    <n v="0"/>
    <n v="0"/>
    <n v="1"/>
    <n v="0"/>
    <n v="0"/>
    <n v="0"/>
    <n v="0"/>
    <n v="0"/>
    <n v="0"/>
    <n v="0"/>
    <n v="1"/>
    <n v="0"/>
    <n v="0"/>
    <n v="0"/>
    <n v="1"/>
    <n v="0"/>
    <n v="0"/>
    <n v="0"/>
    <n v="1"/>
    <n v="0"/>
    <n v="0"/>
    <n v="0"/>
    <n v="0"/>
    <n v="1"/>
    <n v="1"/>
    <n v="0"/>
    <n v="0"/>
    <n v="0"/>
    <n v="0"/>
    <n v="0"/>
    <n v="0"/>
    <n v="1"/>
    <n v="0"/>
    <n v="1"/>
    <n v="1"/>
    <n v="0"/>
    <n v="0"/>
    <n v="1"/>
    <n v="0"/>
    <n v="0"/>
    <n v="0"/>
    <n v="0"/>
    <n v="0"/>
    <n v="0"/>
    <n v="0"/>
    <n v="0"/>
    <n v="0"/>
    <n v="0"/>
    <n v="0"/>
    <n v="11"/>
  </r>
  <r>
    <x v="5"/>
    <x v="0"/>
    <n v="0"/>
    <n v="0"/>
    <n v="1"/>
    <n v="0"/>
    <n v="0"/>
    <n v="0"/>
    <n v="0"/>
    <n v="0"/>
    <n v="0"/>
    <n v="0"/>
    <n v="1"/>
    <n v="0"/>
    <n v="0"/>
    <n v="0"/>
    <n v="0"/>
    <n v="0"/>
    <n v="0"/>
    <n v="0"/>
    <n v="0"/>
    <n v="0"/>
    <n v="0"/>
    <n v="0"/>
    <n v="0"/>
    <n v="0"/>
    <n v="0"/>
    <n v="0"/>
    <n v="0"/>
    <n v="0"/>
    <n v="0"/>
    <n v="0"/>
    <n v="0"/>
    <n v="0"/>
    <n v="0"/>
    <n v="0"/>
    <n v="0"/>
    <n v="1"/>
    <n v="0"/>
    <n v="0"/>
    <n v="0"/>
    <n v="0"/>
    <n v="0"/>
    <n v="0"/>
    <n v="0"/>
    <n v="1"/>
    <n v="0"/>
    <n v="0"/>
    <n v="0"/>
    <n v="0"/>
    <n v="0"/>
    <n v="0"/>
    <n v="0"/>
    <n v="1"/>
    <n v="0"/>
    <n v="0"/>
    <n v="5"/>
  </r>
  <r>
    <x v="6"/>
    <x v="0"/>
    <n v="1"/>
    <n v="0"/>
    <n v="0"/>
    <n v="0"/>
    <n v="0"/>
    <n v="0"/>
    <n v="0"/>
    <n v="0"/>
    <n v="0"/>
    <n v="0"/>
    <n v="0"/>
    <n v="0"/>
    <n v="0"/>
    <n v="0"/>
    <n v="0"/>
    <n v="0"/>
    <n v="0"/>
    <n v="0"/>
    <n v="0"/>
    <n v="0"/>
    <n v="0"/>
    <n v="0"/>
    <n v="0"/>
    <n v="0"/>
    <n v="0"/>
    <n v="0"/>
    <n v="0"/>
    <n v="0"/>
    <n v="0"/>
    <n v="0"/>
    <n v="0"/>
    <n v="0"/>
    <n v="0"/>
    <n v="0"/>
    <n v="0"/>
    <n v="0"/>
    <n v="0"/>
    <n v="0"/>
    <n v="0"/>
    <n v="0"/>
    <n v="1"/>
    <n v="0"/>
    <n v="0"/>
    <n v="0"/>
    <n v="0"/>
    <n v="0"/>
    <n v="0"/>
    <n v="0"/>
    <n v="0"/>
    <n v="0"/>
    <n v="0"/>
    <n v="0"/>
    <n v="0"/>
    <n v="0"/>
    <n v="2"/>
  </r>
  <r>
    <x v="7"/>
    <x v="0"/>
    <n v="1"/>
    <n v="0"/>
    <n v="0"/>
    <n v="0"/>
    <n v="0"/>
    <n v="0"/>
    <n v="0"/>
    <n v="0"/>
    <n v="0"/>
    <n v="0"/>
    <n v="0"/>
    <n v="0"/>
    <n v="0"/>
    <n v="0"/>
    <n v="0"/>
    <n v="0"/>
    <n v="0"/>
    <n v="0"/>
    <n v="0"/>
    <n v="0"/>
    <n v="0"/>
    <n v="0"/>
    <n v="0"/>
    <n v="0"/>
    <n v="0"/>
    <n v="0"/>
    <n v="0"/>
    <n v="0"/>
    <n v="0"/>
    <n v="0"/>
    <n v="0"/>
    <n v="0"/>
    <n v="0"/>
    <n v="0"/>
    <n v="0"/>
    <n v="0"/>
    <n v="0"/>
    <n v="0"/>
    <n v="0"/>
    <n v="0"/>
    <n v="0"/>
    <n v="0"/>
    <n v="0"/>
    <n v="0"/>
    <n v="0"/>
    <n v="0"/>
    <n v="0"/>
    <n v="0"/>
    <n v="0"/>
    <n v="0"/>
    <n v="0"/>
    <n v="0"/>
    <n v="0"/>
    <n v="0"/>
    <n v="1"/>
  </r>
  <r>
    <x v="8"/>
    <x v="0"/>
    <n v="1"/>
    <n v="0"/>
    <n v="0"/>
    <n v="1"/>
    <n v="0"/>
    <n v="0"/>
    <n v="0"/>
    <n v="0"/>
    <n v="0"/>
    <n v="1"/>
    <n v="0"/>
    <n v="1"/>
    <n v="0"/>
    <n v="0"/>
    <n v="0"/>
    <n v="0"/>
    <n v="0"/>
    <n v="0"/>
    <n v="0"/>
    <n v="0"/>
    <n v="0"/>
    <n v="0"/>
    <n v="0"/>
    <n v="0"/>
    <n v="0"/>
    <n v="0"/>
    <n v="0"/>
    <n v="0"/>
    <n v="0"/>
    <n v="0"/>
    <n v="0"/>
    <n v="0"/>
    <n v="0"/>
    <n v="0"/>
    <n v="0"/>
    <n v="0"/>
    <n v="0"/>
    <n v="0"/>
    <n v="1"/>
    <n v="0"/>
    <n v="0"/>
    <n v="0"/>
    <n v="0"/>
    <n v="0"/>
    <n v="0"/>
    <n v="0"/>
    <n v="0"/>
    <n v="0"/>
    <n v="0"/>
    <n v="1"/>
    <n v="0"/>
    <n v="0"/>
    <n v="0"/>
    <n v="1"/>
    <n v="7"/>
  </r>
  <r>
    <x v="9"/>
    <x v="0"/>
    <n v="0"/>
    <n v="1"/>
    <n v="0"/>
    <n v="0"/>
    <n v="0"/>
    <n v="0"/>
    <n v="1"/>
    <n v="1"/>
    <n v="0"/>
    <n v="1"/>
    <n v="1"/>
    <n v="0"/>
    <n v="1"/>
    <n v="0"/>
    <n v="0"/>
    <n v="0"/>
    <n v="0"/>
    <n v="0"/>
    <n v="0"/>
    <n v="0"/>
    <n v="0"/>
    <n v="0"/>
    <n v="0"/>
    <n v="0"/>
    <n v="0"/>
    <n v="0"/>
    <n v="0"/>
    <n v="1"/>
    <n v="0"/>
    <n v="0"/>
    <n v="0"/>
    <n v="0"/>
    <n v="0"/>
    <n v="0"/>
    <n v="0"/>
    <n v="0"/>
    <n v="1"/>
    <n v="1"/>
    <n v="1"/>
    <n v="0"/>
    <n v="1"/>
    <n v="0"/>
    <n v="0"/>
    <n v="0"/>
    <n v="0"/>
    <n v="0"/>
    <n v="1"/>
    <n v="0"/>
    <n v="0"/>
    <n v="0"/>
    <n v="0"/>
    <n v="0"/>
    <n v="0"/>
    <n v="0"/>
    <n v="12"/>
  </r>
  <r>
    <x v="0"/>
    <x v="1"/>
    <n v="1"/>
    <n v="0"/>
    <n v="0"/>
    <n v="0"/>
    <n v="0"/>
    <n v="0"/>
    <n v="0"/>
    <n v="1"/>
    <n v="0"/>
    <n v="1"/>
    <n v="0"/>
    <n v="0"/>
    <n v="0"/>
    <n v="0"/>
    <n v="0"/>
    <n v="0"/>
    <n v="0"/>
    <n v="0"/>
    <n v="1"/>
    <n v="0"/>
    <n v="0"/>
    <n v="0"/>
    <n v="1"/>
    <n v="0"/>
    <n v="0"/>
    <n v="1"/>
    <n v="1"/>
    <n v="0"/>
    <n v="0"/>
    <n v="0"/>
    <n v="0"/>
    <n v="0"/>
    <n v="0"/>
    <n v="1"/>
    <n v="0"/>
    <n v="0"/>
    <n v="1"/>
    <n v="0"/>
    <n v="0"/>
    <n v="0"/>
    <n v="0"/>
    <n v="1"/>
    <n v="0"/>
    <n v="0"/>
    <n v="0"/>
    <n v="0"/>
    <n v="0"/>
    <n v="1"/>
    <n v="0"/>
    <n v="0"/>
    <n v="0"/>
    <n v="0"/>
    <n v="1"/>
    <n v="0"/>
    <n v="12"/>
  </r>
  <r>
    <x v="1"/>
    <x v="1"/>
    <n v="1"/>
    <n v="0"/>
    <n v="0"/>
    <n v="0"/>
    <n v="0"/>
    <n v="0"/>
    <n v="0"/>
    <n v="1"/>
    <n v="1"/>
    <n v="0"/>
    <n v="1"/>
    <n v="0"/>
    <n v="0"/>
    <n v="0"/>
    <n v="1"/>
    <n v="0"/>
    <n v="1"/>
    <n v="1"/>
    <n v="1"/>
    <n v="0"/>
    <n v="0"/>
    <n v="0"/>
    <n v="0"/>
    <n v="0"/>
    <n v="0"/>
    <n v="0"/>
    <n v="0"/>
    <n v="0"/>
    <n v="0"/>
    <n v="0"/>
    <n v="0"/>
    <n v="0"/>
    <n v="0"/>
    <n v="0"/>
    <n v="0"/>
    <n v="0"/>
    <n v="0"/>
    <n v="0"/>
    <n v="0"/>
    <n v="0"/>
    <n v="0"/>
    <n v="1"/>
    <n v="0"/>
    <n v="0"/>
    <n v="0"/>
    <n v="0"/>
    <n v="0"/>
    <n v="0"/>
    <n v="0"/>
    <n v="0"/>
    <n v="0"/>
    <n v="0"/>
    <n v="0"/>
    <n v="1"/>
    <n v="10"/>
  </r>
  <r>
    <x v="2"/>
    <x v="1"/>
    <n v="1"/>
    <n v="0"/>
    <n v="0"/>
    <n v="0"/>
    <n v="0"/>
    <n v="0"/>
    <n v="0"/>
    <n v="0"/>
    <n v="0"/>
    <n v="0"/>
    <n v="0"/>
    <n v="0"/>
    <n v="0"/>
    <n v="0"/>
    <n v="0"/>
    <n v="0"/>
    <n v="1"/>
    <n v="1"/>
    <n v="0"/>
    <n v="0"/>
    <n v="0"/>
    <n v="0"/>
    <n v="0"/>
    <n v="0"/>
    <n v="0"/>
    <n v="0"/>
    <n v="0"/>
    <n v="0"/>
    <n v="0"/>
    <n v="0"/>
    <n v="0"/>
    <n v="0"/>
    <n v="0"/>
    <n v="0"/>
    <n v="0"/>
    <n v="1"/>
    <n v="1"/>
    <n v="0"/>
    <n v="0"/>
    <n v="0"/>
    <n v="0"/>
    <n v="0"/>
    <n v="0"/>
    <n v="0"/>
    <n v="0"/>
    <n v="0"/>
    <n v="0"/>
    <n v="0"/>
    <n v="0"/>
    <n v="0"/>
    <n v="0"/>
    <n v="1"/>
    <n v="0"/>
    <n v="1"/>
    <n v="7"/>
  </r>
  <r>
    <x v="3"/>
    <x v="1"/>
    <n v="0"/>
    <n v="0"/>
    <n v="0"/>
    <n v="0"/>
    <n v="0"/>
    <n v="1"/>
    <n v="0"/>
    <n v="1"/>
    <n v="0"/>
    <n v="1"/>
    <n v="1"/>
    <n v="1"/>
    <n v="0"/>
    <n v="0"/>
    <n v="0"/>
    <n v="0"/>
    <n v="0"/>
    <n v="0"/>
    <n v="0"/>
    <n v="0"/>
    <n v="0"/>
    <n v="0"/>
    <n v="0"/>
    <n v="0"/>
    <n v="0"/>
    <n v="0"/>
    <n v="0"/>
    <n v="0"/>
    <n v="1"/>
    <n v="0"/>
    <n v="0"/>
    <n v="0"/>
    <n v="0"/>
    <n v="0"/>
    <n v="1"/>
    <n v="0"/>
    <n v="1"/>
    <n v="0"/>
    <n v="0"/>
    <n v="0"/>
    <n v="0"/>
    <n v="0"/>
    <n v="0"/>
    <n v="0"/>
    <n v="1"/>
    <n v="0"/>
    <n v="0"/>
    <n v="0"/>
    <n v="0"/>
    <n v="0"/>
    <n v="0"/>
    <n v="0"/>
    <n v="0"/>
    <n v="0"/>
    <n v="9"/>
  </r>
  <r>
    <x v="4"/>
    <x v="1"/>
    <n v="1"/>
    <n v="0"/>
    <n v="1"/>
    <n v="0"/>
    <n v="0"/>
    <n v="0"/>
    <n v="0"/>
    <n v="0"/>
    <n v="0"/>
    <n v="0"/>
    <n v="1"/>
    <n v="0"/>
    <n v="0"/>
    <n v="0"/>
    <n v="0"/>
    <n v="0"/>
    <n v="1"/>
    <n v="1"/>
    <n v="0"/>
    <n v="0"/>
    <n v="0"/>
    <n v="0"/>
    <n v="0"/>
    <n v="1"/>
    <n v="0"/>
    <n v="0"/>
    <n v="0"/>
    <n v="0"/>
    <n v="0"/>
    <n v="0"/>
    <n v="0"/>
    <n v="0"/>
    <n v="1"/>
    <n v="0"/>
    <n v="0"/>
    <n v="0"/>
    <n v="1"/>
    <n v="0"/>
    <n v="0"/>
    <n v="0"/>
    <n v="0"/>
    <n v="0"/>
    <n v="0"/>
    <n v="0"/>
    <n v="0"/>
    <n v="0"/>
    <n v="0"/>
    <n v="0"/>
    <n v="0"/>
    <n v="0"/>
    <n v="0"/>
    <n v="0"/>
    <n v="1"/>
    <n v="1"/>
    <n v="10"/>
  </r>
  <r>
    <x v="5"/>
    <x v="1"/>
    <n v="0"/>
    <n v="0"/>
    <n v="1"/>
    <n v="0"/>
    <n v="0"/>
    <n v="1"/>
    <n v="0"/>
    <n v="0"/>
    <n v="1"/>
    <n v="0"/>
    <n v="1"/>
    <n v="0"/>
    <n v="0"/>
    <n v="0"/>
    <n v="0"/>
    <n v="0"/>
    <n v="0"/>
    <n v="1"/>
    <n v="0"/>
    <n v="0"/>
    <n v="0"/>
    <n v="0"/>
    <n v="0"/>
    <n v="0"/>
    <n v="0"/>
    <n v="0"/>
    <n v="0"/>
    <n v="0"/>
    <n v="0"/>
    <n v="1"/>
    <n v="1"/>
    <n v="0"/>
    <n v="0"/>
    <n v="0"/>
    <n v="1"/>
    <n v="1"/>
    <n v="1"/>
    <n v="0"/>
    <n v="1"/>
    <n v="0"/>
    <n v="0"/>
    <n v="0"/>
    <n v="0"/>
    <n v="1"/>
    <n v="0"/>
    <n v="0"/>
    <n v="0"/>
    <n v="0"/>
    <n v="0"/>
    <n v="0"/>
    <n v="0"/>
    <n v="0"/>
    <n v="0"/>
    <n v="0"/>
    <n v="12"/>
  </r>
  <r>
    <x v="6"/>
    <x v="1"/>
    <n v="1"/>
    <n v="0"/>
    <n v="0"/>
    <n v="0"/>
    <n v="0"/>
    <n v="0"/>
    <n v="0"/>
    <n v="0"/>
    <n v="0"/>
    <n v="1"/>
    <n v="1"/>
    <n v="0"/>
    <n v="0"/>
    <n v="0"/>
    <n v="0"/>
    <n v="0"/>
    <n v="0"/>
    <n v="1"/>
    <n v="0"/>
    <n v="0"/>
    <n v="0"/>
    <n v="0"/>
    <n v="0"/>
    <n v="0"/>
    <n v="0"/>
    <n v="0"/>
    <n v="0"/>
    <n v="0"/>
    <n v="0"/>
    <n v="0"/>
    <n v="0"/>
    <n v="0"/>
    <n v="0"/>
    <n v="1"/>
    <n v="0"/>
    <n v="0"/>
    <n v="1"/>
    <n v="0"/>
    <n v="0"/>
    <n v="0"/>
    <n v="0"/>
    <n v="1"/>
    <n v="0"/>
    <n v="0"/>
    <n v="0"/>
    <n v="0"/>
    <n v="0"/>
    <n v="0"/>
    <n v="0"/>
    <n v="0"/>
    <n v="0"/>
    <n v="0"/>
    <n v="0"/>
    <n v="0"/>
    <n v="7"/>
  </r>
  <r>
    <x v="7"/>
    <x v="1"/>
    <n v="1"/>
    <n v="0"/>
    <n v="0"/>
    <n v="1"/>
    <n v="0"/>
    <n v="1"/>
    <n v="0"/>
    <n v="0"/>
    <n v="0"/>
    <n v="0"/>
    <n v="0"/>
    <n v="0"/>
    <n v="0"/>
    <n v="1"/>
    <n v="0"/>
    <n v="0"/>
    <n v="1"/>
    <n v="1"/>
    <n v="0"/>
    <n v="0"/>
    <n v="0"/>
    <n v="0"/>
    <n v="0"/>
    <n v="0"/>
    <n v="0"/>
    <n v="1"/>
    <n v="0"/>
    <n v="0"/>
    <n v="0"/>
    <n v="0"/>
    <n v="0"/>
    <n v="0"/>
    <n v="0"/>
    <n v="0"/>
    <n v="0"/>
    <n v="0"/>
    <n v="0"/>
    <n v="0"/>
    <n v="0"/>
    <n v="0"/>
    <n v="1"/>
    <n v="0"/>
    <n v="0"/>
    <n v="0"/>
    <n v="0"/>
    <n v="1"/>
    <n v="1"/>
    <n v="0"/>
    <n v="1"/>
    <n v="0"/>
    <n v="1"/>
    <n v="0"/>
    <n v="0"/>
    <n v="1"/>
    <n v="13"/>
  </r>
  <r>
    <x v="8"/>
    <x v="1"/>
    <n v="0"/>
    <n v="0"/>
    <n v="1"/>
    <n v="0"/>
    <n v="0"/>
    <n v="0"/>
    <n v="1"/>
    <n v="0"/>
    <n v="0"/>
    <n v="0"/>
    <n v="0"/>
    <n v="0"/>
    <n v="0"/>
    <n v="0"/>
    <n v="0"/>
    <n v="0"/>
    <n v="1"/>
    <n v="0"/>
    <n v="1"/>
    <n v="0"/>
    <n v="0"/>
    <n v="0"/>
    <n v="0"/>
    <n v="0"/>
    <n v="0"/>
    <n v="0"/>
    <n v="0"/>
    <n v="0"/>
    <n v="0"/>
    <n v="1"/>
    <n v="0"/>
    <n v="0"/>
    <n v="0"/>
    <n v="0"/>
    <n v="1"/>
    <n v="0"/>
    <n v="0"/>
    <n v="1"/>
    <n v="0"/>
    <n v="0"/>
    <n v="0"/>
    <n v="0"/>
    <n v="0"/>
    <n v="0"/>
    <n v="0"/>
    <n v="0"/>
    <n v="1"/>
    <n v="0"/>
    <n v="0"/>
    <n v="0"/>
    <n v="0"/>
    <n v="0"/>
    <n v="1"/>
    <n v="1"/>
    <n v="10"/>
  </r>
  <r>
    <x v="9"/>
    <x v="1"/>
    <n v="1"/>
    <n v="0"/>
    <n v="1"/>
    <n v="0"/>
    <n v="0"/>
    <n v="1"/>
    <n v="0"/>
    <n v="1"/>
    <n v="0"/>
    <n v="0"/>
    <n v="0"/>
    <n v="0"/>
    <n v="1"/>
    <n v="0"/>
    <n v="1"/>
    <n v="0"/>
    <n v="0"/>
    <n v="0"/>
    <n v="0"/>
    <n v="0"/>
    <n v="0"/>
    <n v="0"/>
    <n v="0"/>
    <n v="1"/>
    <n v="0"/>
    <n v="1"/>
    <n v="0"/>
    <n v="0"/>
    <n v="0"/>
    <n v="0"/>
    <n v="0"/>
    <n v="0"/>
    <n v="0"/>
    <n v="0"/>
    <n v="0"/>
    <n v="0"/>
    <n v="0"/>
    <n v="0"/>
    <n v="0"/>
    <n v="0"/>
    <n v="0"/>
    <n v="0"/>
    <n v="0"/>
    <n v="0"/>
    <n v="0"/>
    <n v="1"/>
    <n v="1"/>
    <n v="0"/>
    <n v="0"/>
    <n v="0"/>
    <n v="0"/>
    <n v="0"/>
    <n v="0"/>
    <n v="0"/>
    <n v="10"/>
  </r>
  <r>
    <x v="0"/>
    <x v="2"/>
    <n v="1"/>
    <n v="0"/>
    <n v="0"/>
    <n v="0"/>
    <n v="0"/>
    <n v="0"/>
    <n v="0"/>
    <n v="0"/>
    <n v="0"/>
    <n v="0"/>
    <n v="0"/>
    <n v="0"/>
    <n v="0"/>
    <n v="0"/>
    <n v="0"/>
    <n v="0"/>
    <n v="0"/>
    <n v="1"/>
    <n v="0"/>
    <n v="1"/>
    <n v="0"/>
    <n v="0"/>
    <n v="0"/>
    <n v="0"/>
    <n v="0"/>
    <n v="0"/>
    <n v="0"/>
    <n v="0"/>
    <n v="0"/>
    <n v="0"/>
    <n v="0"/>
    <n v="0"/>
    <n v="0"/>
    <n v="0"/>
    <n v="1"/>
    <n v="0"/>
    <n v="1"/>
    <n v="0"/>
    <n v="1"/>
    <n v="0"/>
    <n v="0"/>
    <n v="0"/>
    <n v="0"/>
    <n v="1"/>
    <n v="0"/>
    <n v="1"/>
    <n v="0"/>
    <n v="0"/>
    <n v="0"/>
    <n v="0"/>
    <n v="0"/>
    <n v="0"/>
    <n v="0"/>
    <n v="0"/>
    <n v="8"/>
  </r>
  <r>
    <x v="1"/>
    <x v="2"/>
    <n v="1"/>
    <n v="0"/>
    <n v="0"/>
    <n v="0"/>
    <n v="0"/>
    <n v="0"/>
    <n v="1"/>
    <n v="0"/>
    <n v="0"/>
    <n v="1"/>
    <n v="0"/>
    <n v="1"/>
    <n v="0"/>
    <n v="1"/>
    <n v="1"/>
    <n v="0"/>
    <n v="0"/>
    <n v="0"/>
    <n v="0"/>
    <n v="0"/>
    <n v="0"/>
    <n v="0"/>
    <n v="0"/>
    <n v="0"/>
    <n v="0"/>
    <n v="0"/>
    <n v="0"/>
    <n v="0"/>
    <n v="0"/>
    <n v="0"/>
    <n v="0"/>
    <n v="0"/>
    <n v="0"/>
    <n v="1"/>
    <n v="1"/>
    <n v="1"/>
    <n v="1"/>
    <n v="0"/>
    <n v="0"/>
    <n v="1"/>
    <n v="0"/>
    <n v="0"/>
    <n v="1"/>
    <n v="1"/>
    <n v="1"/>
    <n v="0"/>
    <n v="0"/>
    <n v="0"/>
    <n v="0"/>
    <n v="0"/>
    <n v="1"/>
    <n v="0"/>
    <n v="0"/>
    <n v="0"/>
    <n v="15"/>
  </r>
  <r>
    <x v="2"/>
    <x v="2"/>
    <n v="0"/>
    <n v="0"/>
    <n v="0"/>
    <n v="0"/>
    <n v="0"/>
    <n v="0"/>
    <n v="0"/>
    <n v="0"/>
    <n v="0"/>
    <n v="0"/>
    <n v="0"/>
    <n v="0"/>
    <n v="0"/>
    <n v="0"/>
    <n v="0"/>
    <n v="0"/>
    <n v="0"/>
    <n v="0"/>
    <n v="0"/>
    <n v="1"/>
    <n v="0"/>
    <n v="0"/>
    <n v="0"/>
    <n v="0"/>
    <n v="0"/>
    <n v="0"/>
    <n v="0"/>
    <n v="0"/>
    <n v="1"/>
    <n v="0"/>
    <n v="0"/>
    <n v="0"/>
    <n v="1"/>
    <n v="0"/>
    <n v="0"/>
    <n v="0"/>
    <n v="0"/>
    <n v="1"/>
    <n v="0"/>
    <n v="1"/>
    <n v="0"/>
    <n v="0"/>
    <n v="0"/>
    <n v="0"/>
    <n v="0"/>
    <n v="1"/>
    <n v="0"/>
    <n v="0"/>
    <n v="0"/>
    <n v="0"/>
    <n v="0"/>
    <n v="1"/>
    <n v="0"/>
    <n v="0"/>
    <n v="7"/>
  </r>
  <r>
    <x v="3"/>
    <x v="2"/>
    <n v="0"/>
    <n v="0"/>
    <n v="1"/>
    <n v="0"/>
    <n v="0"/>
    <n v="1"/>
    <n v="1"/>
    <n v="0"/>
    <n v="0"/>
    <n v="0"/>
    <n v="0"/>
    <n v="0"/>
    <n v="0"/>
    <n v="0"/>
    <n v="0"/>
    <n v="1"/>
    <n v="0"/>
    <n v="0"/>
    <n v="0"/>
    <n v="0"/>
    <n v="0"/>
    <n v="0"/>
    <n v="0"/>
    <n v="1"/>
    <n v="1"/>
    <n v="0"/>
    <n v="1"/>
    <n v="0"/>
    <n v="1"/>
    <n v="0"/>
    <n v="0"/>
    <n v="0"/>
    <n v="0"/>
    <n v="0"/>
    <n v="0"/>
    <n v="0"/>
    <n v="1"/>
    <n v="0"/>
    <n v="0"/>
    <n v="1"/>
    <n v="1"/>
    <n v="0"/>
    <n v="0"/>
    <n v="0"/>
    <n v="0"/>
    <n v="0"/>
    <n v="1"/>
    <n v="0"/>
    <n v="0"/>
    <n v="0"/>
    <n v="1"/>
    <n v="0"/>
    <n v="0"/>
    <n v="0"/>
    <n v="13"/>
  </r>
  <r>
    <x v="4"/>
    <x v="2"/>
    <n v="1"/>
    <n v="1"/>
    <n v="0"/>
    <n v="0"/>
    <n v="1"/>
    <n v="0"/>
    <n v="0"/>
    <n v="0"/>
    <n v="0"/>
    <n v="0"/>
    <n v="0"/>
    <n v="0"/>
    <n v="0"/>
    <n v="0"/>
    <n v="0"/>
    <n v="1"/>
    <n v="1"/>
    <n v="0"/>
    <n v="0"/>
    <n v="0"/>
    <n v="0"/>
    <n v="0"/>
    <n v="0"/>
    <n v="1"/>
    <n v="0"/>
    <n v="0"/>
    <n v="0"/>
    <n v="0"/>
    <n v="0"/>
    <n v="0"/>
    <n v="0"/>
    <n v="0"/>
    <n v="1"/>
    <n v="0"/>
    <n v="0"/>
    <n v="0"/>
    <n v="0"/>
    <n v="1"/>
    <n v="0"/>
    <n v="0"/>
    <n v="0"/>
    <n v="1"/>
    <n v="0"/>
    <n v="1"/>
    <n v="0"/>
    <n v="0"/>
    <n v="0"/>
    <n v="0"/>
    <n v="0"/>
    <n v="0"/>
    <n v="0"/>
    <n v="0"/>
    <n v="0"/>
    <n v="0"/>
    <n v="10"/>
  </r>
  <r>
    <x v="5"/>
    <x v="2"/>
    <n v="1"/>
    <n v="0"/>
    <n v="0"/>
    <n v="0"/>
    <n v="0"/>
    <n v="1"/>
    <n v="0"/>
    <n v="0"/>
    <n v="0"/>
    <n v="0"/>
    <n v="0"/>
    <n v="0"/>
    <n v="0"/>
    <n v="0"/>
    <n v="0"/>
    <n v="0"/>
    <n v="1"/>
    <n v="0"/>
    <n v="0"/>
    <n v="1"/>
    <n v="0"/>
    <n v="0"/>
    <n v="0"/>
    <n v="0"/>
    <n v="1"/>
    <n v="0"/>
    <n v="0"/>
    <n v="1"/>
    <n v="0"/>
    <n v="1"/>
    <n v="0"/>
    <n v="0"/>
    <n v="0"/>
    <n v="0"/>
    <n v="0"/>
    <n v="0"/>
    <n v="0"/>
    <n v="0"/>
    <n v="1"/>
    <n v="0"/>
    <n v="0"/>
    <n v="0"/>
    <n v="0"/>
    <n v="0"/>
    <n v="0"/>
    <n v="0"/>
    <n v="1"/>
    <n v="1"/>
    <n v="0"/>
    <n v="0"/>
    <n v="0"/>
    <n v="0"/>
    <n v="0"/>
    <n v="1"/>
    <n v="11"/>
  </r>
  <r>
    <x v="6"/>
    <x v="2"/>
    <n v="1"/>
    <n v="0"/>
    <n v="0"/>
    <n v="1"/>
    <n v="0"/>
    <n v="1"/>
    <n v="1"/>
    <n v="1"/>
    <n v="0"/>
    <n v="0"/>
    <n v="0"/>
    <n v="1"/>
    <n v="0"/>
    <n v="0"/>
    <n v="0"/>
    <n v="0"/>
    <n v="0"/>
    <n v="0"/>
    <n v="1"/>
    <n v="1"/>
    <n v="0"/>
    <n v="0"/>
    <n v="0"/>
    <n v="1"/>
    <n v="0"/>
    <n v="0"/>
    <n v="0"/>
    <n v="1"/>
    <n v="0"/>
    <n v="1"/>
    <n v="0"/>
    <n v="1"/>
    <n v="0"/>
    <n v="0"/>
    <n v="1"/>
    <n v="1"/>
    <n v="0"/>
    <n v="1"/>
    <n v="0"/>
    <n v="0"/>
    <n v="0"/>
    <n v="0"/>
    <n v="1"/>
    <n v="0"/>
    <n v="0"/>
    <n v="0"/>
    <n v="0"/>
    <n v="0"/>
    <n v="0"/>
    <n v="0"/>
    <n v="0"/>
    <n v="0"/>
    <n v="1"/>
    <n v="1"/>
    <n v="18"/>
  </r>
  <r>
    <x v="7"/>
    <x v="2"/>
    <n v="1"/>
    <n v="0"/>
    <n v="0"/>
    <n v="0"/>
    <n v="0"/>
    <n v="0"/>
    <n v="0"/>
    <n v="1"/>
    <n v="1"/>
    <n v="0"/>
    <n v="1"/>
    <n v="0"/>
    <n v="1"/>
    <n v="0"/>
    <n v="0"/>
    <n v="0"/>
    <n v="0"/>
    <n v="0"/>
    <n v="0"/>
    <n v="0"/>
    <n v="0"/>
    <n v="0"/>
    <n v="0"/>
    <n v="0"/>
    <n v="0"/>
    <n v="0"/>
    <n v="0"/>
    <n v="0"/>
    <n v="1"/>
    <n v="0"/>
    <n v="0"/>
    <n v="0"/>
    <n v="0"/>
    <n v="0"/>
    <n v="0"/>
    <n v="0"/>
    <n v="1"/>
    <n v="0"/>
    <n v="0"/>
    <n v="0"/>
    <n v="0"/>
    <n v="0"/>
    <n v="1"/>
    <n v="0"/>
    <n v="1"/>
    <n v="0"/>
    <n v="0"/>
    <n v="0"/>
    <n v="0"/>
    <n v="0"/>
    <n v="0"/>
    <n v="1"/>
    <n v="0"/>
    <n v="0"/>
    <n v="10"/>
  </r>
  <r>
    <x v="8"/>
    <x v="2"/>
    <n v="0"/>
    <n v="0"/>
    <n v="0"/>
    <n v="0"/>
    <n v="0"/>
    <n v="0"/>
    <n v="1"/>
    <n v="0"/>
    <n v="0"/>
    <n v="1"/>
    <n v="0"/>
    <n v="0"/>
    <n v="0"/>
    <n v="0"/>
    <n v="0"/>
    <n v="0"/>
    <n v="0"/>
    <n v="1"/>
    <n v="0"/>
    <n v="0"/>
    <n v="0"/>
    <n v="0"/>
    <n v="1"/>
    <n v="0"/>
    <n v="0"/>
    <n v="0"/>
    <n v="1"/>
    <n v="0"/>
    <n v="1"/>
    <n v="0"/>
    <n v="0"/>
    <n v="0"/>
    <n v="0"/>
    <n v="1"/>
    <n v="1"/>
    <n v="0"/>
    <n v="0"/>
    <n v="0"/>
    <n v="0"/>
    <n v="0"/>
    <n v="0"/>
    <n v="0"/>
    <n v="1"/>
    <n v="0"/>
    <n v="0"/>
    <n v="0"/>
    <n v="1"/>
    <n v="1"/>
    <n v="1"/>
    <n v="0"/>
    <n v="1"/>
    <n v="0"/>
    <n v="0"/>
    <n v="1"/>
    <n v="14"/>
  </r>
  <r>
    <x v="9"/>
    <x v="2"/>
    <n v="1"/>
    <n v="0"/>
    <n v="1"/>
    <n v="0"/>
    <n v="0"/>
    <n v="1"/>
    <n v="0"/>
    <n v="0"/>
    <n v="0"/>
    <n v="0"/>
    <n v="0"/>
    <n v="0"/>
    <n v="0"/>
    <n v="0"/>
    <n v="0"/>
    <n v="1"/>
    <n v="1"/>
    <n v="0"/>
    <n v="0"/>
    <n v="1"/>
    <n v="1"/>
    <n v="0"/>
    <n v="0"/>
    <n v="0"/>
    <n v="0"/>
    <n v="1"/>
    <n v="0"/>
    <n v="0"/>
    <n v="1"/>
    <n v="0"/>
    <n v="0"/>
    <n v="0"/>
    <n v="1"/>
    <n v="0"/>
    <n v="0"/>
    <n v="0"/>
    <n v="1"/>
    <n v="0"/>
    <n v="0"/>
    <n v="0"/>
    <n v="0"/>
    <n v="0"/>
    <n v="0"/>
    <n v="0"/>
    <n v="0"/>
    <n v="0"/>
    <n v="0"/>
    <n v="0"/>
    <n v="0"/>
    <n v="0"/>
    <n v="0"/>
    <n v="0"/>
    <n v="0"/>
    <n v="0"/>
    <n v="11"/>
  </r>
</pivotCacheRecords>
</file>

<file path=xl/pivotCache/pivotCacheRecords3.xml><?xml version="1.0" encoding="utf-8"?>
<pivotCacheRecords xmlns="http://schemas.openxmlformats.org/spreadsheetml/2006/main" xmlns:r="http://schemas.openxmlformats.org/officeDocument/2006/relationships" count="30">
  <r>
    <s v="Stn1"/>
    <x v="0"/>
    <n v="2"/>
    <n v="1"/>
    <n v="3"/>
    <n v="1"/>
    <n v="3"/>
    <n v="6"/>
    <n v="10"/>
    <n v="5"/>
    <n v="7.2"/>
    <n v="26.5"/>
    <n v="32.4"/>
    <n v="28.6"/>
    <n v="68"/>
    <n v="2.1"/>
    <n v="420"/>
    <n v="5.0000000000000001E-4"/>
    <n v="5.0000000000000001E-4"/>
    <n v="0.17699999999999999"/>
    <n v="3.5000000000000003E-2"/>
    <n v="5.0000000000000001E-4"/>
    <n v="4.4999999999999998E-2"/>
  </r>
  <r>
    <s v="Stn2"/>
    <x v="0"/>
    <n v="2"/>
    <n v="1"/>
    <n v="4"/>
    <n v="1"/>
    <n v="5"/>
    <n v="2"/>
    <n v="10"/>
    <n v="4"/>
    <n v="7"/>
    <n v="26.8"/>
    <n v="38.9"/>
    <n v="45.2"/>
    <n v="65"/>
    <n v="3"/>
    <n v="460"/>
    <n v="5.0000000000000001E-3"/>
    <n v="5.0000000000000001E-4"/>
    <n v="0.24299999999999999"/>
    <n v="1.9E-2"/>
    <n v="5.0000000000000001E-4"/>
    <n v="7.1999999999999995E-2"/>
  </r>
  <r>
    <s v="Stn3"/>
    <x v="0"/>
    <n v="0"/>
    <n v="2"/>
    <n v="1"/>
    <n v="1"/>
    <n v="3"/>
    <n v="2"/>
    <n v="8"/>
    <n v="4"/>
    <n v="6.8"/>
    <n v="27"/>
    <n v="41.2"/>
    <n v="52.4"/>
    <n v="62"/>
    <n v="3.8"/>
    <n v="500"/>
    <n v="5.0000000000000001E-4"/>
    <n v="5.0000000000000001E-4"/>
    <n v="0.10100000000000001"/>
    <n v="2.4E-2"/>
    <n v="5.0000000000000001E-4"/>
    <n v="9.8000000000000004E-2"/>
  </r>
  <r>
    <s v="Stn4"/>
    <x v="0"/>
    <n v="1"/>
    <n v="3"/>
    <n v="2"/>
    <n v="0"/>
    <n v="5"/>
    <n v="5"/>
    <n v="10"/>
    <n v="3"/>
    <n v="6.7"/>
    <n v="27.2"/>
    <n v="45.6"/>
    <n v="60.8"/>
    <n v="58"/>
    <n v="4.2"/>
    <n v="540"/>
    <n v="5.0000000000000001E-4"/>
    <n v="5.0000000000000001E-4"/>
    <n v="0.16700000000000001"/>
    <n v="7.0000000000000001E-3"/>
    <n v="5.0000000000000001E-4"/>
    <n v="7.3999999999999996E-2"/>
  </r>
  <r>
    <s v="Stn5"/>
    <x v="0"/>
    <n v="3"/>
    <n v="4"/>
    <n v="4"/>
    <n v="0"/>
    <n v="3"/>
    <n v="3"/>
    <n v="7"/>
    <n v="3"/>
    <n v="6.6"/>
    <n v="27.5"/>
    <n v="49.8"/>
    <n v="72.599999999999994"/>
    <n v="34"/>
    <n v="5"/>
    <n v="580"/>
    <n v="5.0000000000000001E-4"/>
    <n v="5.0000000000000001E-4"/>
    <n v="0.114"/>
    <n v="2.1000000000000001E-2"/>
    <n v="5.0000000000000001E-4"/>
    <n v="8.8999999999999996E-2"/>
  </r>
  <r>
    <s v="Stn6"/>
    <x v="0"/>
    <n v="2"/>
    <n v="0"/>
    <n v="2"/>
    <n v="1"/>
    <n v="5"/>
    <n v="3"/>
    <n v="9"/>
    <n v="3"/>
    <n v="6.5"/>
    <n v="27.8"/>
    <n v="52.4"/>
    <n v="88.4"/>
    <n v="48"/>
    <n v="6.3"/>
    <n v="640"/>
    <n v="5.0000000000000001E-4"/>
    <n v="5.0000000000000001E-4"/>
    <n v="0.155"/>
    <n v="1.7999999999999999E-2"/>
    <n v="5.0000000000000001E-4"/>
    <n v="5.2999999999999999E-2"/>
  </r>
  <r>
    <s v="Stn7"/>
    <x v="0"/>
    <n v="1"/>
    <n v="0"/>
    <n v="1"/>
    <n v="0"/>
    <n v="4"/>
    <n v="3"/>
    <n v="7"/>
    <n v="2"/>
    <n v="6.4"/>
    <n v="28"/>
    <n v="56.7"/>
    <n v="96.3"/>
    <n v="42"/>
    <n v="7.1"/>
    <n v="700"/>
    <n v="5.0000000000000001E-4"/>
    <n v="5.0000000000000001E-4"/>
    <n v="0.17399999999999999"/>
    <n v="1.2E-2"/>
    <n v="5.0000000000000001E-4"/>
    <n v="0.112"/>
  </r>
  <r>
    <s v="Stn8"/>
    <x v="0"/>
    <n v="1"/>
    <n v="0"/>
    <n v="0"/>
    <n v="0"/>
    <n v="5"/>
    <n v="5"/>
    <n v="6"/>
    <n v="2"/>
    <n v="6.2"/>
    <n v="29"/>
    <n v="60.3"/>
    <n v="108.5"/>
    <n v="38"/>
    <n v="8"/>
    <n v="760"/>
    <n v="5.0000000000000001E-4"/>
    <n v="5.0000000000000001E-4"/>
    <n v="0.26100000000000001"/>
    <n v="1.0999999999999999E-2"/>
    <n v="5.0000000000000001E-4"/>
    <n v="6.7000000000000004E-2"/>
  </r>
  <r>
    <s v="Stn9"/>
    <x v="0"/>
    <n v="4"/>
    <n v="0"/>
    <n v="1"/>
    <n v="2"/>
    <n v="1"/>
    <n v="1"/>
    <n v="13"/>
    <n v="5"/>
    <n v="6.1"/>
    <n v="28.8"/>
    <n v="62.5"/>
    <n v="116.2"/>
    <n v="35"/>
    <n v="8.5"/>
    <n v="800"/>
    <n v="1.4E-2"/>
    <n v="5.0000000000000001E-4"/>
    <n v="0.315"/>
    <n v="5.0000000000000001E-3"/>
    <n v="5.0000000000000001E-4"/>
    <n v="0.24299999999999999"/>
  </r>
  <r>
    <s v="Stn10"/>
    <x v="0"/>
    <n v="6"/>
    <n v="1"/>
    <n v="4"/>
    <n v="1"/>
    <n v="3"/>
    <n v="2"/>
    <n v="10"/>
    <n v="5"/>
    <n v="6.1"/>
    <n v="29"/>
    <n v="65.3"/>
    <n v="124.6"/>
    <n v="32"/>
    <n v="9"/>
    <n v="820"/>
    <n v="8.0000000000000002E-3"/>
    <n v="5.0000000000000001E-4"/>
    <n v="0.22800000000000001"/>
    <n v="1.6E-2"/>
    <n v="5.0000000000000001E-4"/>
    <n v="8.5999999999999993E-2"/>
  </r>
  <r>
    <s v="Stn1"/>
    <x v="1"/>
    <n v="3"/>
    <n v="4"/>
    <n v="3"/>
    <n v="2"/>
    <n v="5"/>
    <n v="5"/>
    <n v="13"/>
    <n v="5"/>
    <n v="7.4"/>
    <n v="25.8"/>
    <n v="8.1999999999999993"/>
    <n v="6.5"/>
    <n v="55"/>
    <n v="2.5"/>
    <n v="350"/>
    <n v="5.0000000000000001E-4"/>
    <n v="5.0000000000000001E-4"/>
    <n v="0.53700000000000003"/>
    <n v="6.0000000000000001E-3"/>
    <n v="5.0000000000000001E-4"/>
    <n v="2.1000000000000001E-2"/>
  </r>
  <r>
    <s v="Stn2"/>
    <x v="1"/>
    <n v="5"/>
    <n v="3"/>
    <n v="1"/>
    <n v="1"/>
    <n v="3"/>
    <n v="3"/>
    <n v="13"/>
    <n v="3"/>
    <n v="7.2"/>
    <n v="26"/>
    <n v="7.9"/>
    <n v="8.1999999999999993"/>
    <n v="52"/>
    <n v="3.1"/>
    <n v="390"/>
    <n v="5.0000000000000001E-4"/>
    <n v="5.0000000000000001E-4"/>
    <n v="6.5000000000000002E-2"/>
    <n v="5.0000000000000001E-4"/>
    <n v="5.0000000000000001E-4"/>
    <n v="3.6999999999999998E-2"/>
  </r>
  <r>
    <s v="Stn3"/>
    <x v="1"/>
    <n v="1"/>
    <n v="2"/>
    <n v="2"/>
    <n v="2"/>
    <n v="4"/>
    <n v="4"/>
    <n v="13"/>
    <n v="1"/>
    <n v="7"/>
    <n v="26.3"/>
    <n v="7.5"/>
    <n v="10.4"/>
    <n v="49"/>
    <n v="3.8"/>
    <n v="430"/>
    <n v="5.0000000000000001E-4"/>
    <n v="5.0000000000000001E-4"/>
    <n v="0.106"/>
    <n v="2E-3"/>
    <n v="5.0000000000000001E-4"/>
    <n v="5.8999999999999997E-2"/>
  </r>
  <r>
    <s v="Stn4"/>
    <x v="1"/>
    <n v="5"/>
    <n v="1"/>
    <n v="2"/>
    <n v="1"/>
    <n v="6"/>
    <n v="4"/>
    <n v="6"/>
    <n v="7"/>
    <n v="6.9"/>
    <n v="26.5"/>
    <n v="7.1"/>
    <n v="12.8"/>
    <n v="46"/>
    <n v="4.4000000000000004"/>
    <n v="470"/>
    <n v="5.0000000000000001E-4"/>
    <n v="5.0000000000000001E-4"/>
    <n v="4.5999999999999999E-2"/>
    <n v="1.0999999999999999E-2"/>
    <n v="5.0000000000000001E-4"/>
    <n v="1.9E-2"/>
  </r>
  <r>
    <s v="Stn5"/>
    <x v="1"/>
    <n v="3"/>
    <n v="3"/>
    <n v="1"/>
    <n v="2"/>
    <n v="4"/>
    <n v="3"/>
    <n v="7"/>
    <n v="3"/>
    <n v="6.8"/>
    <n v="26.8"/>
    <n v="6.8"/>
    <n v="15.3"/>
    <n v="43"/>
    <n v="5.2"/>
    <n v="510"/>
    <n v="5.0000000000000001E-4"/>
    <n v="5.0000000000000001E-4"/>
    <n v="3.1E-2"/>
    <n v="4.0000000000000001E-3"/>
    <n v="5.0000000000000001E-4"/>
    <n v="2.1999999999999999E-2"/>
  </r>
  <r>
    <s v="Stn6"/>
    <x v="1"/>
    <n v="4"/>
    <n v="3"/>
    <n v="5"/>
    <n v="0"/>
    <n v="4"/>
    <n v="4"/>
    <n v="10"/>
    <n v="5"/>
    <n v="6.7"/>
    <n v="27"/>
    <n v="6.4"/>
    <n v="18.600000000000001"/>
    <n v="40"/>
    <n v="6"/>
    <n v="560"/>
    <n v="5.0000000000000001E-4"/>
    <n v="5.0000000000000001E-4"/>
    <n v="0.151"/>
    <n v="5.0000000000000001E-4"/>
    <n v="5.0000000000000001E-4"/>
    <n v="2.9000000000000001E-2"/>
  </r>
  <r>
    <s v="Stn7"/>
    <x v="1"/>
    <n v="3"/>
    <n v="1"/>
    <n v="3"/>
    <n v="0"/>
    <n v="5"/>
    <n v="5"/>
    <n v="10"/>
    <n v="5"/>
    <n v="6.5"/>
    <n v="27.3"/>
    <n v="6"/>
    <n v="22.5"/>
    <n v="37"/>
    <n v="6.8"/>
    <n v="610"/>
    <n v="5.0000000000000001E-4"/>
    <n v="5.0000000000000001E-4"/>
    <n v="0.13200000000000001"/>
    <n v="1E-3"/>
    <n v="5.0000000000000001E-4"/>
    <n v="3.2000000000000001E-2"/>
  </r>
  <r>
    <s v="Stn8"/>
    <x v="1"/>
    <n v="4"/>
    <n v="3"/>
    <n v="1"/>
    <n v="5"/>
    <n v="4"/>
    <n v="3"/>
    <n v="6"/>
    <n v="4"/>
    <n v="6.4"/>
    <n v="27.6"/>
    <n v="5.7"/>
    <n v="26.8"/>
    <n v="35"/>
    <n v="7.5"/>
    <n v="670"/>
    <n v="5.0000000000000001E-4"/>
    <n v="5.0000000000000001E-4"/>
    <n v="5.2999999999999999E-2"/>
    <n v="5.0000000000000001E-4"/>
    <n v="5.0000000000000001E-4"/>
    <n v="4.7E-2"/>
  </r>
  <r>
    <s v="Stn9"/>
    <x v="1"/>
    <n v="2"/>
    <n v="3"/>
    <n v="2"/>
    <n v="3"/>
    <n v="5"/>
    <n v="4"/>
    <n v="5"/>
    <n v="5"/>
    <n v="6.3"/>
    <n v="27.8"/>
    <n v="5.3"/>
    <n v="30.4"/>
    <n v="33"/>
    <n v="8.1"/>
    <n v="720"/>
    <n v="1.4E-2"/>
    <n v="5.0000000000000001E-4"/>
    <n v="0.13400000000000001"/>
    <n v="7.0000000000000001E-3"/>
    <n v="5.0000000000000001E-4"/>
    <n v="3.9E-2"/>
  </r>
  <r>
    <s v="Stn10"/>
    <x v="1"/>
    <n v="6"/>
    <n v="2"/>
    <n v="0"/>
    <n v="2"/>
    <n v="1"/>
    <n v="6"/>
    <n v="9"/>
    <n v="5"/>
    <n v="6.2"/>
    <n v="28"/>
    <n v="5"/>
    <n v="34.1"/>
    <n v="30"/>
    <n v="8.9"/>
    <n v="780"/>
    <n v="6.0000000000000001E-3"/>
    <n v="5.0000000000000001E-4"/>
    <n v="0.11899999999999999"/>
    <n v="5.0000000000000001E-3"/>
    <n v="5.0000000000000001E-4"/>
    <n v="4.1000000000000002E-2"/>
  </r>
  <r>
    <s v="Stn1"/>
    <x v="2"/>
    <n v="1"/>
    <n v="2"/>
    <n v="4"/>
    <n v="1"/>
    <n v="4"/>
    <n v="2"/>
    <n v="6"/>
    <n v="3"/>
    <n v="7.1"/>
    <n v="26.2"/>
    <n v="7.8"/>
    <n v="9.4"/>
    <n v="72"/>
    <n v="3.2"/>
    <n v="410"/>
    <n v="5.0000000000000001E-4"/>
    <n v="5.0000000000000001E-4"/>
    <n v="0.223"/>
    <n v="8.9999999999999993E-3"/>
    <n v="5.0000000000000001E-4"/>
    <n v="5.8000000000000003E-2"/>
  </r>
  <r>
    <s v="Stn2"/>
    <x v="2"/>
    <n v="6"/>
    <n v="0"/>
    <n v="7"/>
    <n v="2"/>
    <n v="2"/>
    <n v="4"/>
    <n v="9"/>
    <n v="2"/>
    <n v="7"/>
    <n v="26.5"/>
    <n v="7.4"/>
    <n v="12.6"/>
    <n v="69"/>
    <n v="4"/>
    <n v="450"/>
    <n v="3.0000000000000001E-3"/>
    <n v="5.0000000000000001E-4"/>
    <n v="0.17799999999999999"/>
    <n v="1.4E-2"/>
    <n v="5.0000000000000001E-4"/>
    <n v="8.1000000000000003E-2"/>
  </r>
  <r>
    <s v="Stn3"/>
    <x v="2"/>
    <n v="0"/>
    <n v="2"/>
    <n v="2"/>
    <n v="2"/>
    <n v="3"/>
    <n v="3"/>
    <n v="5"/>
    <n v="5"/>
    <n v="6.9"/>
    <n v="26.8"/>
    <n v="7"/>
    <n v="15.8"/>
    <n v="65"/>
    <n v="4.9000000000000004"/>
    <n v="500"/>
    <n v="5.0000000000000001E-4"/>
    <n v="5.0000000000000001E-4"/>
    <n v="9.1999999999999998E-2"/>
    <n v="6.0000000000000001E-3"/>
    <n v="5.0000000000000001E-4"/>
    <n v="6.3E-2"/>
  </r>
  <r>
    <s v="Stn4"/>
    <x v="2"/>
    <n v="4"/>
    <n v="4"/>
    <n v="3"/>
    <n v="2"/>
    <n v="6"/>
    <n v="2"/>
    <n v="10"/>
    <n v="4"/>
    <n v="6.8"/>
    <n v="27"/>
    <n v="6.7"/>
    <n v="19.3"/>
    <n v="61"/>
    <n v="5.8"/>
    <n v="550"/>
    <n v="5.0000000000000001E-4"/>
    <n v="5.0000000000000001E-4"/>
    <n v="0.13500000000000001"/>
    <n v="1.0999999999999999E-2"/>
    <n v="5.0000000000000001E-4"/>
    <n v="7.0999999999999994E-2"/>
  </r>
  <r>
    <s v="Stn5"/>
    <x v="2"/>
    <n v="4"/>
    <n v="2"/>
    <n v="3"/>
    <n v="0"/>
    <n v="6"/>
    <n v="2"/>
    <n v="8"/>
    <n v="6"/>
    <n v="6.6"/>
    <n v="27.4"/>
    <n v="6.3"/>
    <n v="24"/>
    <n v="57"/>
    <n v="6.7"/>
    <n v="610"/>
    <n v="5.0000000000000001E-4"/>
    <n v="5.0000000000000001E-4"/>
    <n v="0.11799999999999999"/>
    <n v="8.0000000000000002E-3"/>
    <n v="5.0000000000000001E-4"/>
    <n v="4.9000000000000002E-2"/>
  </r>
  <r>
    <s v="Stn6"/>
    <x v="2"/>
    <n v="2"/>
    <n v="5"/>
    <n v="1"/>
    <n v="3"/>
    <n v="2"/>
    <n v="5"/>
    <n v="8"/>
    <n v="2"/>
    <n v="6.5"/>
    <n v="27.7"/>
    <n v="5.9"/>
    <n v="29.5"/>
    <n v="53"/>
    <n v="7.6"/>
    <n v="670"/>
    <n v="5.0000000000000001E-4"/>
    <n v="5.0000000000000001E-4"/>
    <n v="0.16400000000000001"/>
    <n v="1.2E-2"/>
    <n v="5.0000000000000001E-4"/>
    <n v="5.3999999999999999E-2"/>
  </r>
  <r>
    <s v="Stn7"/>
    <x v="2"/>
    <n v="6"/>
    <n v="6"/>
    <n v="4"/>
    <n v="2"/>
    <n v="5"/>
    <n v="3"/>
    <n v="11"/>
    <n v="2"/>
    <n v="6.4"/>
    <n v="28"/>
    <n v="5.5"/>
    <n v="35.799999999999997"/>
    <n v="49"/>
    <n v="8.5"/>
    <n v="730"/>
    <n v="7.0000000000000001E-3"/>
    <n v="5.0000000000000001E-4"/>
    <n v="0.20699999999999999"/>
    <n v="1.4999999999999999E-2"/>
    <n v="5.0000000000000001E-4"/>
    <n v="9.6000000000000002E-2"/>
  </r>
  <r>
    <s v="Stn8"/>
    <x v="2"/>
    <n v="5"/>
    <n v="1"/>
    <n v="2"/>
    <n v="2"/>
    <n v="4"/>
    <n v="3"/>
    <n v="11"/>
    <n v="2"/>
    <n v="6.3"/>
    <n v="28.3"/>
    <n v="5.0999999999999996"/>
    <n v="41.2"/>
    <n v="45"/>
    <n v="9.3000000000000007"/>
    <n v="790"/>
    <n v="5.0000000000000001E-4"/>
    <n v="5.0000000000000001E-4"/>
    <n v="0.254"/>
    <n v="0.01"/>
    <n v="5.0000000000000001E-4"/>
    <n v="7.3999999999999996E-2"/>
  </r>
  <r>
    <s v="Stn9"/>
    <x v="2"/>
    <n v="2"/>
    <n v="4"/>
    <n v="3"/>
    <n v="5"/>
    <n v="3"/>
    <n v="5"/>
    <n v="12"/>
    <n v="1"/>
    <n v="6.2"/>
    <n v="28.5"/>
    <n v="4.8"/>
    <n v="48.6"/>
    <n v="41"/>
    <n v="10.199999999999999"/>
    <n v="850"/>
    <n v="1.0999999999999999E-2"/>
    <n v="5.0000000000000001E-4"/>
    <n v="0.28599999999999998"/>
    <n v="1.7999999999999999E-2"/>
    <n v="5.0000000000000001E-4"/>
    <n v="0.13100000000000001"/>
  </r>
  <r>
    <s v="Stn10"/>
    <x v="2"/>
    <n v="4"/>
    <n v="5"/>
    <n v="1"/>
    <n v="0"/>
    <n v="5"/>
    <n v="5"/>
    <n v="7"/>
    <n v="1"/>
    <n v="6"/>
    <n v="28.8"/>
    <n v="4.5"/>
    <n v="56.3"/>
    <n v="38"/>
    <n v="11"/>
    <n v="910"/>
    <n v="5.0000000000000001E-3"/>
    <n v="5.0000000000000001E-4"/>
    <n v="0.19600000000000001"/>
    <n v="1.2999999999999999E-2"/>
    <n v="5.0000000000000001E-4"/>
    <n v="6.9000000000000006E-2"/>
  </r>
</pivotCacheRecords>
</file>

<file path=xl/pivotCache/pivotCacheRecords4.xml><?xml version="1.0" encoding="utf-8"?>
<pivotCacheRecords xmlns="http://schemas.openxmlformats.org/spreadsheetml/2006/main" xmlns:r="http://schemas.openxmlformats.org/officeDocument/2006/relationships" count="104">
  <r>
    <x v="0"/>
    <x v="0"/>
    <x v="0"/>
    <x v="0"/>
    <x v="0"/>
    <x v="0"/>
    <x v="0"/>
    <x v="0"/>
    <x v="0"/>
    <x v="0"/>
    <x v="0"/>
    <x v="0"/>
    <x v="0"/>
    <n v="1"/>
    <n v="1"/>
    <n v="1"/>
    <n v="0"/>
    <n v="1"/>
    <n v="0"/>
    <n v="1"/>
    <n v="1"/>
    <n v="0"/>
    <n v="1"/>
    <n v="1"/>
    <n v="1"/>
    <n v="0"/>
    <n v="0"/>
    <n v="1"/>
    <n v="1"/>
    <n v="1"/>
    <n v="1"/>
    <n v="0"/>
    <n v="1"/>
    <n v="20"/>
    <n v="6"/>
    <n v="7"/>
    <n v="7"/>
  </r>
  <r>
    <x v="1"/>
    <x v="0"/>
    <x v="0"/>
    <x v="1"/>
    <x v="1"/>
    <x v="0"/>
    <x v="0"/>
    <x v="1"/>
    <x v="0"/>
    <x v="1"/>
    <x v="1"/>
    <x v="1"/>
    <x v="1"/>
    <n v="0"/>
    <n v="0"/>
    <n v="0"/>
    <n v="0"/>
    <n v="0"/>
    <n v="0"/>
    <n v="0"/>
    <n v="0"/>
    <n v="0"/>
    <n v="0"/>
    <n v="0"/>
    <n v="0"/>
    <n v="0"/>
    <n v="0"/>
    <n v="1"/>
    <n v="0"/>
    <n v="0"/>
    <n v="0"/>
    <n v="0"/>
    <n v="0"/>
    <n v="2"/>
    <n v="1"/>
    <n v="0"/>
    <n v="1"/>
  </r>
  <r>
    <x v="2"/>
    <x v="0"/>
    <x v="0"/>
    <x v="1"/>
    <x v="1"/>
    <x v="0"/>
    <x v="0"/>
    <x v="1"/>
    <x v="1"/>
    <x v="1"/>
    <x v="1"/>
    <x v="1"/>
    <x v="0"/>
    <n v="0"/>
    <n v="0"/>
    <n v="0"/>
    <n v="0"/>
    <n v="1"/>
    <n v="1"/>
    <n v="0"/>
    <n v="0"/>
    <n v="1"/>
    <n v="1"/>
    <n v="0"/>
    <n v="0"/>
    <n v="0"/>
    <n v="1"/>
    <n v="0"/>
    <n v="0"/>
    <n v="0"/>
    <n v="0"/>
    <n v="0"/>
    <n v="1"/>
    <n v="7"/>
    <n v="1"/>
    <n v="4"/>
    <n v="2"/>
  </r>
  <r>
    <x v="3"/>
    <x v="0"/>
    <x v="0"/>
    <x v="1"/>
    <x v="1"/>
    <x v="0"/>
    <x v="0"/>
    <x v="1"/>
    <x v="0"/>
    <x v="1"/>
    <x v="1"/>
    <x v="0"/>
    <x v="0"/>
    <n v="0"/>
    <n v="0"/>
    <n v="0"/>
    <n v="0"/>
    <n v="0"/>
    <n v="0"/>
    <n v="0"/>
    <n v="1"/>
    <n v="0"/>
    <n v="0"/>
    <n v="0"/>
    <n v="0"/>
    <n v="0"/>
    <n v="0"/>
    <n v="0"/>
    <n v="0"/>
    <n v="1"/>
    <n v="0"/>
    <n v="0"/>
    <n v="0"/>
    <n v="3"/>
    <n v="1"/>
    <n v="1"/>
    <n v="1"/>
  </r>
  <r>
    <x v="4"/>
    <x v="0"/>
    <x v="0"/>
    <x v="1"/>
    <x v="1"/>
    <x v="0"/>
    <x v="1"/>
    <x v="1"/>
    <x v="0"/>
    <x v="1"/>
    <x v="1"/>
    <x v="1"/>
    <x v="0"/>
    <n v="0"/>
    <n v="0"/>
    <n v="0"/>
    <n v="0"/>
    <n v="0"/>
    <n v="0"/>
    <n v="0"/>
    <n v="0"/>
    <n v="0"/>
    <n v="0"/>
    <n v="0"/>
    <n v="0"/>
    <n v="0"/>
    <n v="0"/>
    <n v="1"/>
    <n v="0"/>
    <n v="0"/>
    <n v="0"/>
    <n v="0"/>
    <n v="0"/>
    <n v="2"/>
    <n v="1"/>
    <n v="0"/>
    <n v="1"/>
  </r>
  <r>
    <x v="5"/>
    <x v="0"/>
    <x v="0"/>
    <x v="1"/>
    <x v="1"/>
    <x v="0"/>
    <x v="0"/>
    <x v="1"/>
    <x v="0"/>
    <x v="1"/>
    <x v="1"/>
    <x v="1"/>
    <x v="0"/>
    <n v="0"/>
    <n v="0"/>
    <n v="0"/>
    <n v="1"/>
    <n v="0"/>
    <n v="1"/>
    <n v="0"/>
    <n v="1"/>
    <n v="0"/>
    <n v="1"/>
    <n v="0"/>
    <n v="0"/>
    <n v="0"/>
    <n v="1"/>
    <n v="0"/>
    <n v="1"/>
    <n v="1"/>
    <n v="0"/>
    <n v="0"/>
    <n v="1"/>
    <n v="8"/>
    <n v="0"/>
    <n v="4"/>
    <n v="4"/>
  </r>
  <r>
    <x v="6"/>
    <x v="0"/>
    <x v="0"/>
    <x v="1"/>
    <x v="1"/>
    <x v="0"/>
    <x v="0"/>
    <x v="1"/>
    <x v="0"/>
    <x v="1"/>
    <x v="1"/>
    <x v="1"/>
    <x v="1"/>
    <n v="0"/>
    <n v="0"/>
    <n v="0"/>
    <n v="0"/>
    <n v="0"/>
    <n v="0"/>
    <n v="0"/>
    <n v="0"/>
    <n v="1"/>
    <n v="0"/>
    <n v="0"/>
    <n v="1"/>
    <n v="0"/>
    <n v="1"/>
    <n v="0"/>
    <n v="0"/>
    <n v="1"/>
    <n v="0"/>
    <n v="1"/>
    <n v="0"/>
    <n v="6"/>
    <n v="1"/>
    <n v="1"/>
    <n v="4"/>
  </r>
  <r>
    <x v="7"/>
    <x v="0"/>
    <x v="0"/>
    <x v="1"/>
    <x v="1"/>
    <x v="0"/>
    <x v="0"/>
    <x v="0"/>
    <x v="0"/>
    <x v="1"/>
    <x v="1"/>
    <x v="1"/>
    <x v="1"/>
    <n v="1"/>
    <n v="1"/>
    <n v="0"/>
    <n v="1"/>
    <n v="0"/>
    <n v="0"/>
    <n v="0"/>
    <n v="0"/>
    <n v="0"/>
    <n v="1"/>
    <n v="0"/>
    <n v="0"/>
    <n v="0"/>
    <n v="0"/>
    <n v="0"/>
    <n v="0"/>
    <n v="1"/>
    <n v="1"/>
    <n v="0"/>
    <n v="0"/>
    <n v="8"/>
    <n v="2"/>
    <n v="4"/>
    <n v="2"/>
  </r>
  <r>
    <x v="8"/>
    <x v="0"/>
    <x v="0"/>
    <x v="1"/>
    <x v="1"/>
    <x v="0"/>
    <x v="0"/>
    <x v="1"/>
    <x v="0"/>
    <x v="1"/>
    <x v="1"/>
    <x v="1"/>
    <x v="0"/>
    <n v="0"/>
    <n v="1"/>
    <n v="0"/>
    <n v="0"/>
    <n v="0"/>
    <n v="1"/>
    <n v="0"/>
    <n v="0"/>
    <n v="0"/>
    <n v="0"/>
    <n v="0"/>
    <n v="0"/>
    <n v="0"/>
    <n v="0"/>
    <n v="0"/>
    <n v="0"/>
    <n v="0"/>
    <n v="1"/>
    <n v="0"/>
    <n v="0"/>
    <n v="3"/>
    <n v="0"/>
    <n v="2"/>
    <n v="1"/>
  </r>
  <r>
    <x v="9"/>
    <x v="0"/>
    <x v="0"/>
    <x v="1"/>
    <x v="1"/>
    <x v="0"/>
    <x v="0"/>
    <x v="1"/>
    <x v="0"/>
    <x v="1"/>
    <x v="1"/>
    <x v="0"/>
    <x v="1"/>
    <n v="1"/>
    <n v="0"/>
    <n v="0"/>
    <n v="1"/>
    <n v="0"/>
    <n v="0"/>
    <n v="1"/>
    <n v="0"/>
    <n v="0"/>
    <n v="0"/>
    <n v="0"/>
    <n v="1"/>
    <n v="0"/>
    <n v="0"/>
    <n v="0"/>
    <n v="0"/>
    <n v="0"/>
    <n v="0"/>
    <n v="1"/>
    <n v="0"/>
    <n v="7"/>
    <n v="2"/>
    <n v="3"/>
    <n v="2"/>
  </r>
  <r>
    <x v="10"/>
    <x v="0"/>
    <x v="0"/>
    <x v="1"/>
    <x v="1"/>
    <x v="0"/>
    <x v="0"/>
    <x v="1"/>
    <x v="1"/>
    <x v="1"/>
    <x v="1"/>
    <x v="1"/>
    <x v="1"/>
    <n v="0"/>
    <n v="1"/>
    <n v="0"/>
    <n v="1"/>
    <n v="1"/>
    <n v="1"/>
    <n v="1"/>
    <n v="0"/>
    <n v="0"/>
    <n v="0"/>
    <n v="0"/>
    <n v="0"/>
    <n v="0"/>
    <n v="0"/>
    <n v="0"/>
    <n v="0"/>
    <n v="0"/>
    <n v="1"/>
    <n v="0"/>
    <n v="0"/>
    <n v="8"/>
    <n v="2"/>
    <n v="5"/>
    <n v="1"/>
  </r>
  <r>
    <x v="11"/>
    <x v="0"/>
    <x v="0"/>
    <x v="0"/>
    <x v="1"/>
    <x v="0"/>
    <x v="0"/>
    <x v="1"/>
    <x v="0"/>
    <x v="1"/>
    <x v="1"/>
    <x v="0"/>
    <x v="0"/>
    <n v="0"/>
    <n v="0"/>
    <n v="0"/>
    <n v="1"/>
    <n v="0"/>
    <n v="0"/>
    <n v="0"/>
    <n v="0"/>
    <n v="0"/>
    <n v="0"/>
    <n v="0"/>
    <n v="1"/>
    <n v="0"/>
    <n v="0"/>
    <n v="0"/>
    <n v="0"/>
    <n v="1"/>
    <n v="0"/>
    <n v="0"/>
    <n v="0"/>
    <n v="5"/>
    <n v="2"/>
    <n v="1"/>
    <n v="2"/>
  </r>
  <r>
    <x v="12"/>
    <x v="0"/>
    <x v="0"/>
    <x v="1"/>
    <x v="1"/>
    <x v="0"/>
    <x v="0"/>
    <x v="1"/>
    <x v="0"/>
    <x v="1"/>
    <x v="1"/>
    <x v="1"/>
    <x v="1"/>
    <n v="0"/>
    <n v="0"/>
    <n v="0"/>
    <n v="0"/>
    <n v="0"/>
    <n v="0"/>
    <n v="0"/>
    <n v="0"/>
    <n v="0"/>
    <n v="1"/>
    <n v="0"/>
    <n v="0"/>
    <n v="0"/>
    <n v="0"/>
    <n v="0"/>
    <n v="0"/>
    <n v="0"/>
    <n v="1"/>
    <n v="0"/>
    <n v="0"/>
    <n v="3"/>
    <n v="1"/>
    <n v="1"/>
    <n v="1"/>
  </r>
  <r>
    <x v="13"/>
    <x v="0"/>
    <x v="0"/>
    <x v="1"/>
    <x v="1"/>
    <x v="0"/>
    <x v="0"/>
    <x v="1"/>
    <x v="0"/>
    <x v="1"/>
    <x v="1"/>
    <x v="1"/>
    <x v="0"/>
    <n v="0"/>
    <n v="0"/>
    <n v="0"/>
    <n v="0"/>
    <n v="0"/>
    <n v="0"/>
    <n v="0"/>
    <n v="1"/>
    <n v="0"/>
    <n v="0"/>
    <n v="0"/>
    <n v="1"/>
    <n v="0"/>
    <n v="0"/>
    <n v="0"/>
    <n v="0"/>
    <n v="0"/>
    <n v="0"/>
    <n v="0"/>
    <n v="0"/>
    <n v="2"/>
    <n v="0"/>
    <n v="1"/>
    <n v="1"/>
  </r>
  <r>
    <x v="14"/>
    <x v="0"/>
    <x v="0"/>
    <x v="1"/>
    <x v="0"/>
    <x v="0"/>
    <x v="0"/>
    <x v="1"/>
    <x v="0"/>
    <x v="1"/>
    <x v="1"/>
    <x v="1"/>
    <x v="0"/>
    <n v="0"/>
    <n v="1"/>
    <n v="0"/>
    <n v="0"/>
    <n v="0"/>
    <n v="0"/>
    <n v="0"/>
    <n v="0"/>
    <n v="0"/>
    <n v="1"/>
    <n v="0"/>
    <n v="1"/>
    <n v="0"/>
    <n v="0"/>
    <n v="0"/>
    <n v="0"/>
    <n v="0"/>
    <n v="0"/>
    <n v="0"/>
    <n v="0"/>
    <n v="4"/>
    <n v="1"/>
    <n v="2"/>
    <n v="1"/>
  </r>
  <r>
    <x v="15"/>
    <x v="0"/>
    <x v="0"/>
    <x v="1"/>
    <x v="1"/>
    <x v="0"/>
    <x v="0"/>
    <x v="0"/>
    <x v="0"/>
    <x v="1"/>
    <x v="1"/>
    <x v="1"/>
    <x v="0"/>
    <n v="0"/>
    <n v="0"/>
    <n v="0"/>
    <n v="0"/>
    <n v="0"/>
    <n v="0"/>
    <n v="0"/>
    <n v="0"/>
    <n v="0"/>
    <n v="0"/>
    <n v="0"/>
    <n v="0"/>
    <n v="0"/>
    <n v="1"/>
    <n v="1"/>
    <n v="0"/>
    <n v="0"/>
    <n v="0"/>
    <n v="0"/>
    <n v="1"/>
    <n v="4"/>
    <n v="1"/>
    <n v="0"/>
    <n v="3"/>
  </r>
  <r>
    <x v="16"/>
    <x v="1"/>
    <x v="0"/>
    <x v="1"/>
    <x v="0"/>
    <x v="0"/>
    <x v="0"/>
    <x v="1"/>
    <x v="0"/>
    <x v="1"/>
    <x v="1"/>
    <x v="1"/>
    <x v="0"/>
    <n v="0"/>
    <n v="1"/>
    <n v="1"/>
    <n v="0"/>
    <n v="1"/>
    <n v="0"/>
    <n v="0"/>
    <n v="1"/>
    <n v="1"/>
    <n v="0"/>
    <n v="0"/>
    <n v="0"/>
    <n v="0"/>
    <n v="0"/>
    <n v="1"/>
    <n v="1"/>
    <n v="0"/>
    <n v="0"/>
    <n v="0"/>
    <n v="1"/>
    <n v="9"/>
    <n v="1"/>
    <n v="5"/>
    <n v="3"/>
  </r>
  <r>
    <x v="17"/>
    <x v="1"/>
    <x v="0"/>
    <x v="1"/>
    <x v="1"/>
    <x v="0"/>
    <x v="0"/>
    <x v="1"/>
    <x v="0"/>
    <x v="1"/>
    <x v="1"/>
    <x v="1"/>
    <x v="0"/>
    <n v="0"/>
    <n v="1"/>
    <n v="1"/>
    <n v="0"/>
    <n v="1"/>
    <n v="1"/>
    <n v="1"/>
    <n v="1"/>
    <n v="0"/>
    <n v="0"/>
    <n v="1"/>
    <n v="0"/>
    <n v="0"/>
    <n v="0"/>
    <n v="0"/>
    <n v="0"/>
    <n v="0"/>
    <n v="0"/>
    <n v="1"/>
    <n v="0"/>
    <n v="8"/>
    <n v="0"/>
    <n v="6"/>
    <n v="2"/>
  </r>
  <r>
    <x v="18"/>
    <x v="1"/>
    <x v="0"/>
    <x v="1"/>
    <x v="1"/>
    <x v="0"/>
    <x v="1"/>
    <x v="1"/>
    <x v="0"/>
    <x v="1"/>
    <x v="1"/>
    <x v="1"/>
    <x v="0"/>
    <n v="1"/>
    <n v="1"/>
    <n v="0"/>
    <n v="0"/>
    <n v="0"/>
    <n v="0"/>
    <n v="0"/>
    <n v="0"/>
    <n v="1"/>
    <n v="0"/>
    <n v="0"/>
    <n v="0"/>
    <n v="0"/>
    <n v="0"/>
    <n v="0"/>
    <n v="0"/>
    <n v="1"/>
    <n v="0"/>
    <n v="0"/>
    <n v="0"/>
    <n v="5"/>
    <n v="1"/>
    <n v="3"/>
    <n v="1"/>
  </r>
  <r>
    <x v="19"/>
    <x v="1"/>
    <x v="0"/>
    <x v="1"/>
    <x v="1"/>
    <x v="0"/>
    <x v="0"/>
    <x v="0"/>
    <x v="0"/>
    <x v="1"/>
    <x v="1"/>
    <x v="1"/>
    <x v="0"/>
    <n v="0"/>
    <n v="0"/>
    <n v="0"/>
    <n v="0"/>
    <n v="0"/>
    <n v="0"/>
    <n v="0"/>
    <n v="0"/>
    <n v="0"/>
    <n v="0"/>
    <n v="1"/>
    <n v="0"/>
    <n v="1"/>
    <n v="0"/>
    <n v="0"/>
    <n v="1"/>
    <n v="1"/>
    <n v="0"/>
    <n v="0"/>
    <n v="1"/>
    <n v="6"/>
    <n v="1"/>
    <n v="0"/>
    <n v="5"/>
  </r>
  <r>
    <x v="20"/>
    <x v="1"/>
    <x v="0"/>
    <x v="1"/>
    <x v="1"/>
    <x v="0"/>
    <x v="0"/>
    <x v="1"/>
    <x v="0"/>
    <x v="1"/>
    <x v="1"/>
    <x v="1"/>
    <x v="0"/>
    <n v="0"/>
    <n v="0"/>
    <n v="0"/>
    <n v="0"/>
    <n v="0"/>
    <n v="0"/>
    <n v="0"/>
    <n v="0"/>
    <n v="0"/>
    <n v="0"/>
    <n v="0"/>
    <n v="0"/>
    <n v="0"/>
    <n v="0"/>
    <n v="0"/>
    <n v="0"/>
    <n v="0"/>
    <n v="0"/>
    <n v="0"/>
    <n v="1"/>
    <n v="1"/>
    <n v="0"/>
    <n v="0"/>
    <n v="1"/>
  </r>
  <r>
    <x v="21"/>
    <x v="1"/>
    <x v="0"/>
    <x v="1"/>
    <x v="1"/>
    <x v="0"/>
    <x v="1"/>
    <x v="1"/>
    <x v="0"/>
    <x v="1"/>
    <x v="1"/>
    <x v="1"/>
    <x v="0"/>
    <n v="0"/>
    <n v="0"/>
    <n v="0"/>
    <n v="0"/>
    <n v="0"/>
    <n v="0"/>
    <n v="0"/>
    <n v="0"/>
    <n v="0"/>
    <n v="0"/>
    <n v="0"/>
    <n v="0"/>
    <n v="0"/>
    <n v="0"/>
    <n v="0"/>
    <n v="0"/>
    <n v="0"/>
    <n v="0"/>
    <n v="0"/>
    <n v="0"/>
    <n v="1"/>
    <n v="1"/>
    <n v="0"/>
    <n v="0"/>
  </r>
  <r>
    <x v="22"/>
    <x v="1"/>
    <x v="0"/>
    <x v="1"/>
    <x v="1"/>
    <x v="0"/>
    <x v="0"/>
    <x v="1"/>
    <x v="0"/>
    <x v="1"/>
    <x v="1"/>
    <x v="1"/>
    <x v="0"/>
    <n v="1"/>
    <n v="0"/>
    <n v="0"/>
    <n v="0"/>
    <n v="0"/>
    <n v="0"/>
    <n v="0"/>
    <n v="0"/>
    <n v="0"/>
    <n v="0"/>
    <n v="0"/>
    <n v="0"/>
    <n v="0"/>
    <n v="0"/>
    <n v="0"/>
    <n v="0"/>
    <n v="0"/>
    <n v="0"/>
    <n v="1"/>
    <n v="0"/>
    <n v="2"/>
    <n v="0"/>
    <n v="1"/>
    <n v="1"/>
  </r>
  <r>
    <x v="23"/>
    <x v="1"/>
    <x v="0"/>
    <x v="1"/>
    <x v="1"/>
    <x v="0"/>
    <x v="0"/>
    <x v="0"/>
    <x v="0"/>
    <x v="1"/>
    <x v="1"/>
    <x v="1"/>
    <x v="0"/>
    <n v="0"/>
    <n v="0"/>
    <n v="0"/>
    <n v="0"/>
    <n v="1"/>
    <n v="0"/>
    <n v="0"/>
    <n v="0"/>
    <n v="0"/>
    <n v="1"/>
    <n v="0"/>
    <n v="0"/>
    <n v="0"/>
    <n v="1"/>
    <n v="1"/>
    <n v="0"/>
    <n v="1"/>
    <n v="0"/>
    <n v="0"/>
    <n v="0"/>
    <n v="6"/>
    <n v="1"/>
    <n v="2"/>
    <n v="3"/>
  </r>
  <r>
    <x v="24"/>
    <x v="1"/>
    <x v="0"/>
    <x v="1"/>
    <x v="1"/>
    <x v="1"/>
    <x v="0"/>
    <x v="1"/>
    <x v="0"/>
    <x v="1"/>
    <x v="1"/>
    <x v="1"/>
    <x v="0"/>
    <n v="0"/>
    <n v="0"/>
    <n v="0"/>
    <n v="0"/>
    <n v="0"/>
    <n v="0"/>
    <n v="0"/>
    <n v="0"/>
    <n v="0"/>
    <n v="0"/>
    <n v="0"/>
    <n v="0"/>
    <n v="0"/>
    <n v="1"/>
    <n v="0"/>
    <n v="1"/>
    <n v="0"/>
    <n v="0"/>
    <n v="0"/>
    <n v="0"/>
    <n v="3"/>
    <n v="1"/>
    <n v="0"/>
    <n v="2"/>
  </r>
  <r>
    <x v="25"/>
    <x v="1"/>
    <x v="0"/>
    <x v="1"/>
    <x v="1"/>
    <x v="0"/>
    <x v="0"/>
    <x v="1"/>
    <x v="0"/>
    <x v="1"/>
    <x v="1"/>
    <x v="1"/>
    <x v="0"/>
    <n v="1"/>
    <n v="0"/>
    <n v="0"/>
    <n v="0"/>
    <n v="0"/>
    <n v="0"/>
    <n v="0"/>
    <n v="1"/>
    <n v="0"/>
    <n v="1"/>
    <n v="0"/>
    <n v="0"/>
    <n v="0"/>
    <n v="0"/>
    <n v="0"/>
    <n v="0"/>
    <n v="0"/>
    <n v="0"/>
    <n v="0"/>
    <n v="1"/>
    <n v="4"/>
    <n v="0"/>
    <n v="3"/>
    <n v="1"/>
  </r>
  <r>
    <x v="26"/>
    <x v="1"/>
    <x v="0"/>
    <x v="1"/>
    <x v="1"/>
    <x v="0"/>
    <x v="1"/>
    <x v="1"/>
    <x v="0"/>
    <x v="1"/>
    <x v="1"/>
    <x v="1"/>
    <x v="0"/>
    <n v="1"/>
    <n v="0"/>
    <n v="0"/>
    <n v="0"/>
    <n v="0"/>
    <n v="0"/>
    <n v="0"/>
    <n v="0"/>
    <n v="0"/>
    <n v="0"/>
    <n v="0"/>
    <n v="0"/>
    <n v="0"/>
    <n v="1"/>
    <n v="0"/>
    <n v="0"/>
    <n v="0"/>
    <n v="0"/>
    <n v="1"/>
    <n v="0"/>
    <n v="4"/>
    <n v="1"/>
    <n v="1"/>
    <n v="2"/>
  </r>
  <r>
    <x v="27"/>
    <x v="1"/>
    <x v="0"/>
    <x v="1"/>
    <x v="1"/>
    <x v="0"/>
    <x v="0"/>
    <x v="1"/>
    <x v="0"/>
    <x v="1"/>
    <x v="1"/>
    <x v="1"/>
    <x v="1"/>
    <n v="0"/>
    <n v="0"/>
    <n v="0"/>
    <n v="0"/>
    <n v="0"/>
    <n v="0"/>
    <n v="0"/>
    <n v="0"/>
    <n v="0"/>
    <n v="0"/>
    <n v="0"/>
    <n v="0"/>
    <n v="0"/>
    <n v="0"/>
    <n v="0"/>
    <n v="1"/>
    <n v="1"/>
    <n v="0"/>
    <n v="0"/>
    <n v="0"/>
    <n v="3"/>
    <n v="1"/>
    <n v="0"/>
    <n v="2"/>
  </r>
  <r>
    <x v="28"/>
    <x v="1"/>
    <x v="0"/>
    <x v="1"/>
    <x v="1"/>
    <x v="0"/>
    <x v="0"/>
    <x v="0"/>
    <x v="0"/>
    <x v="1"/>
    <x v="1"/>
    <x v="1"/>
    <x v="0"/>
    <n v="0"/>
    <n v="0"/>
    <n v="0"/>
    <n v="1"/>
    <n v="0"/>
    <n v="0"/>
    <n v="0"/>
    <n v="0"/>
    <n v="0"/>
    <n v="0"/>
    <n v="0"/>
    <n v="0"/>
    <n v="1"/>
    <n v="1"/>
    <n v="0"/>
    <n v="0"/>
    <n v="0"/>
    <n v="1"/>
    <n v="1"/>
    <n v="1"/>
    <n v="7"/>
    <n v="1"/>
    <n v="1"/>
    <n v="5"/>
  </r>
  <r>
    <x v="29"/>
    <x v="1"/>
    <x v="0"/>
    <x v="1"/>
    <x v="1"/>
    <x v="0"/>
    <x v="0"/>
    <x v="0"/>
    <x v="0"/>
    <x v="1"/>
    <x v="1"/>
    <x v="1"/>
    <x v="0"/>
    <n v="0"/>
    <n v="0"/>
    <n v="0"/>
    <n v="0"/>
    <n v="0"/>
    <n v="1"/>
    <n v="0"/>
    <n v="0"/>
    <n v="1"/>
    <n v="0"/>
    <n v="0"/>
    <n v="0"/>
    <n v="0"/>
    <n v="0"/>
    <n v="0"/>
    <n v="1"/>
    <n v="1"/>
    <n v="0"/>
    <n v="0"/>
    <n v="0"/>
    <n v="5"/>
    <n v="1"/>
    <n v="2"/>
    <n v="2"/>
  </r>
  <r>
    <x v="30"/>
    <x v="1"/>
    <x v="0"/>
    <x v="1"/>
    <x v="1"/>
    <x v="0"/>
    <x v="0"/>
    <x v="1"/>
    <x v="0"/>
    <x v="1"/>
    <x v="1"/>
    <x v="1"/>
    <x v="0"/>
    <n v="0"/>
    <n v="0"/>
    <n v="0"/>
    <n v="0"/>
    <n v="0"/>
    <n v="1"/>
    <n v="0"/>
    <n v="0"/>
    <n v="0"/>
    <n v="0"/>
    <n v="0"/>
    <n v="0"/>
    <n v="0"/>
    <n v="0"/>
    <n v="0"/>
    <n v="0"/>
    <n v="0"/>
    <n v="0"/>
    <n v="0"/>
    <n v="0"/>
    <n v="1"/>
    <n v="0"/>
    <n v="1"/>
    <n v="0"/>
  </r>
  <r>
    <x v="31"/>
    <x v="1"/>
    <x v="0"/>
    <x v="0"/>
    <x v="1"/>
    <x v="1"/>
    <x v="0"/>
    <x v="1"/>
    <x v="0"/>
    <x v="1"/>
    <x v="1"/>
    <x v="1"/>
    <x v="0"/>
    <n v="0"/>
    <n v="0"/>
    <n v="0"/>
    <n v="0"/>
    <n v="0"/>
    <n v="0"/>
    <n v="0"/>
    <n v="0"/>
    <n v="0"/>
    <n v="0"/>
    <n v="0"/>
    <n v="0"/>
    <n v="0"/>
    <n v="0"/>
    <n v="0"/>
    <n v="0"/>
    <n v="1"/>
    <n v="0"/>
    <n v="0"/>
    <n v="0"/>
    <n v="3"/>
    <n v="2"/>
    <n v="0"/>
    <n v="1"/>
  </r>
  <r>
    <x v="32"/>
    <x v="2"/>
    <x v="0"/>
    <x v="1"/>
    <x v="1"/>
    <x v="0"/>
    <x v="1"/>
    <x v="1"/>
    <x v="0"/>
    <x v="1"/>
    <x v="1"/>
    <x v="1"/>
    <x v="0"/>
    <n v="0"/>
    <n v="0"/>
    <n v="0"/>
    <n v="0"/>
    <n v="1"/>
    <n v="0"/>
    <n v="0"/>
    <n v="0"/>
    <n v="0"/>
    <n v="0"/>
    <n v="0"/>
    <n v="0"/>
    <n v="1"/>
    <n v="0"/>
    <n v="1"/>
    <n v="0"/>
    <n v="0"/>
    <n v="0"/>
    <n v="0"/>
    <n v="1"/>
    <n v="5"/>
    <n v="1"/>
    <n v="1"/>
    <n v="3"/>
  </r>
  <r>
    <x v="33"/>
    <x v="2"/>
    <x v="0"/>
    <x v="1"/>
    <x v="1"/>
    <x v="0"/>
    <x v="0"/>
    <x v="1"/>
    <x v="0"/>
    <x v="1"/>
    <x v="1"/>
    <x v="1"/>
    <x v="0"/>
    <n v="1"/>
    <n v="0"/>
    <n v="0"/>
    <n v="0"/>
    <n v="0"/>
    <n v="0"/>
    <n v="1"/>
    <n v="0"/>
    <n v="0"/>
    <n v="0"/>
    <n v="0"/>
    <n v="1"/>
    <n v="0"/>
    <n v="0"/>
    <n v="0"/>
    <n v="0"/>
    <n v="0"/>
    <n v="0"/>
    <n v="1"/>
    <n v="0"/>
    <n v="4"/>
    <n v="0"/>
    <n v="2"/>
    <n v="2"/>
  </r>
  <r>
    <x v="34"/>
    <x v="2"/>
    <x v="0"/>
    <x v="1"/>
    <x v="1"/>
    <x v="0"/>
    <x v="0"/>
    <x v="1"/>
    <x v="0"/>
    <x v="1"/>
    <x v="1"/>
    <x v="1"/>
    <x v="0"/>
    <n v="0"/>
    <n v="0"/>
    <n v="0"/>
    <n v="1"/>
    <n v="0"/>
    <n v="1"/>
    <n v="0"/>
    <n v="0"/>
    <n v="1"/>
    <n v="0"/>
    <n v="1"/>
    <n v="1"/>
    <n v="0"/>
    <n v="0"/>
    <n v="0"/>
    <n v="0"/>
    <n v="1"/>
    <n v="0"/>
    <n v="1"/>
    <n v="0"/>
    <n v="7"/>
    <n v="0"/>
    <n v="3"/>
    <n v="4"/>
  </r>
  <r>
    <x v="35"/>
    <x v="2"/>
    <x v="0"/>
    <x v="1"/>
    <x v="1"/>
    <x v="0"/>
    <x v="0"/>
    <x v="1"/>
    <x v="1"/>
    <x v="1"/>
    <x v="1"/>
    <x v="1"/>
    <x v="0"/>
    <n v="0"/>
    <n v="0"/>
    <n v="1"/>
    <n v="0"/>
    <n v="0"/>
    <n v="1"/>
    <n v="0"/>
    <n v="0"/>
    <n v="0"/>
    <n v="0"/>
    <n v="0"/>
    <n v="1"/>
    <n v="0"/>
    <n v="0"/>
    <n v="0"/>
    <n v="0"/>
    <n v="1"/>
    <n v="0"/>
    <n v="0"/>
    <n v="0"/>
    <n v="5"/>
    <n v="1"/>
    <n v="2"/>
    <n v="2"/>
  </r>
  <r>
    <x v="36"/>
    <x v="2"/>
    <x v="0"/>
    <x v="0"/>
    <x v="0"/>
    <x v="0"/>
    <x v="1"/>
    <x v="0"/>
    <x v="0"/>
    <x v="1"/>
    <x v="1"/>
    <x v="1"/>
    <x v="1"/>
    <n v="1"/>
    <n v="0"/>
    <n v="1"/>
    <n v="1"/>
    <n v="1"/>
    <n v="1"/>
    <n v="1"/>
    <n v="0"/>
    <n v="0"/>
    <n v="0"/>
    <n v="1"/>
    <n v="1"/>
    <n v="0"/>
    <n v="1"/>
    <n v="0"/>
    <n v="0"/>
    <n v="0"/>
    <n v="1"/>
    <n v="0"/>
    <n v="1"/>
    <n v="16"/>
    <n v="5"/>
    <n v="6"/>
    <n v="5"/>
  </r>
  <r>
    <x v="37"/>
    <x v="2"/>
    <x v="0"/>
    <x v="1"/>
    <x v="1"/>
    <x v="0"/>
    <x v="0"/>
    <x v="1"/>
    <x v="0"/>
    <x v="1"/>
    <x v="1"/>
    <x v="1"/>
    <x v="1"/>
    <n v="0"/>
    <n v="0"/>
    <n v="0"/>
    <n v="0"/>
    <n v="0"/>
    <n v="0"/>
    <n v="0"/>
    <n v="0"/>
    <n v="1"/>
    <n v="0"/>
    <n v="0"/>
    <n v="0"/>
    <n v="1"/>
    <n v="0"/>
    <n v="1"/>
    <n v="0"/>
    <n v="1"/>
    <n v="0"/>
    <n v="0"/>
    <n v="0"/>
    <n v="5"/>
    <n v="1"/>
    <n v="1"/>
    <n v="3"/>
  </r>
  <r>
    <x v="38"/>
    <x v="2"/>
    <x v="0"/>
    <x v="0"/>
    <x v="0"/>
    <x v="0"/>
    <x v="0"/>
    <x v="0"/>
    <x v="0"/>
    <x v="1"/>
    <x v="1"/>
    <x v="0"/>
    <x v="1"/>
    <n v="0"/>
    <n v="0"/>
    <n v="0"/>
    <n v="0"/>
    <n v="0"/>
    <n v="1"/>
    <n v="0"/>
    <n v="0"/>
    <n v="0"/>
    <n v="0"/>
    <n v="1"/>
    <n v="0"/>
    <n v="0"/>
    <n v="0"/>
    <n v="0"/>
    <n v="1"/>
    <n v="0"/>
    <n v="0"/>
    <n v="0"/>
    <n v="0"/>
    <n v="8"/>
    <n v="5"/>
    <n v="1"/>
    <n v="2"/>
  </r>
  <r>
    <x v="39"/>
    <x v="2"/>
    <x v="0"/>
    <x v="1"/>
    <x v="0"/>
    <x v="0"/>
    <x v="1"/>
    <x v="0"/>
    <x v="0"/>
    <x v="1"/>
    <x v="1"/>
    <x v="1"/>
    <x v="0"/>
    <n v="0"/>
    <n v="0"/>
    <n v="0"/>
    <n v="0"/>
    <n v="0"/>
    <n v="0"/>
    <n v="0"/>
    <n v="0"/>
    <n v="0"/>
    <n v="0"/>
    <n v="0"/>
    <n v="1"/>
    <n v="1"/>
    <n v="1"/>
    <n v="0"/>
    <n v="0"/>
    <n v="0"/>
    <n v="0"/>
    <n v="0"/>
    <n v="0"/>
    <n v="6"/>
    <n v="3"/>
    <n v="0"/>
    <n v="3"/>
  </r>
  <r>
    <x v="40"/>
    <x v="2"/>
    <x v="0"/>
    <x v="0"/>
    <x v="1"/>
    <x v="1"/>
    <x v="0"/>
    <x v="1"/>
    <x v="0"/>
    <x v="0"/>
    <x v="1"/>
    <x v="1"/>
    <x v="1"/>
    <n v="0"/>
    <n v="0"/>
    <n v="0"/>
    <n v="0"/>
    <n v="0"/>
    <n v="0"/>
    <n v="0"/>
    <n v="1"/>
    <n v="0"/>
    <n v="0"/>
    <n v="0"/>
    <n v="0"/>
    <n v="0"/>
    <n v="1"/>
    <n v="0"/>
    <n v="0"/>
    <n v="0"/>
    <n v="0"/>
    <n v="0"/>
    <n v="0"/>
    <n v="6"/>
    <n v="4"/>
    <n v="1"/>
    <n v="1"/>
  </r>
  <r>
    <x v="41"/>
    <x v="2"/>
    <x v="0"/>
    <x v="1"/>
    <x v="1"/>
    <x v="0"/>
    <x v="0"/>
    <x v="1"/>
    <x v="0"/>
    <x v="1"/>
    <x v="1"/>
    <x v="1"/>
    <x v="0"/>
    <n v="1"/>
    <n v="1"/>
    <n v="0"/>
    <n v="0"/>
    <n v="0"/>
    <n v="0"/>
    <n v="1"/>
    <n v="0"/>
    <n v="0"/>
    <n v="0"/>
    <n v="0"/>
    <n v="0"/>
    <n v="0"/>
    <n v="0"/>
    <n v="1"/>
    <n v="0"/>
    <n v="0"/>
    <n v="0"/>
    <n v="0"/>
    <n v="0"/>
    <n v="4"/>
    <n v="0"/>
    <n v="3"/>
    <n v="1"/>
  </r>
  <r>
    <x v="42"/>
    <x v="2"/>
    <x v="0"/>
    <x v="1"/>
    <x v="1"/>
    <x v="0"/>
    <x v="0"/>
    <x v="0"/>
    <x v="0"/>
    <x v="1"/>
    <x v="1"/>
    <x v="1"/>
    <x v="0"/>
    <n v="0"/>
    <n v="0"/>
    <n v="0"/>
    <n v="0"/>
    <n v="0"/>
    <n v="0"/>
    <n v="0"/>
    <n v="0"/>
    <n v="0"/>
    <n v="0"/>
    <n v="0"/>
    <n v="1"/>
    <n v="0"/>
    <n v="0"/>
    <n v="0"/>
    <n v="0"/>
    <n v="1"/>
    <n v="1"/>
    <n v="1"/>
    <n v="0"/>
    <n v="5"/>
    <n v="1"/>
    <n v="0"/>
    <n v="4"/>
  </r>
  <r>
    <x v="43"/>
    <x v="2"/>
    <x v="0"/>
    <x v="1"/>
    <x v="0"/>
    <x v="0"/>
    <x v="0"/>
    <x v="1"/>
    <x v="1"/>
    <x v="1"/>
    <x v="1"/>
    <x v="1"/>
    <x v="0"/>
    <n v="0"/>
    <n v="0"/>
    <n v="0"/>
    <n v="0"/>
    <n v="0"/>
    <n v="1"/>
    <n v="0"/>
    <n v="0"/>
    <n v="0"/>
    <n v="0"/>
    <n v="1"/>
    <n v="1"/>
    <n v="0"/>
    <n v="0"/>
    <n v="1"/>
    <n v="0"/>
    <n v="0"/>
    <n v="0"/>
    <n v="0"/>
    <n v="0"/>
    <n v="6"/>
    <n v="2"/>
    <n v="1"/>
    <n v="3"/>
  </r>
  <r>
    <x v="44"/>
    <x v="3"/>
    <x v="0"/>
    <x v="1"/>
    <x v="1"/>
    <x v="0"/>
    <x v="0"/>
    <x v="1"/>
    <x v="0"/>
    <x v="1"/>
    <x v="1"/>
    <x v="1"/>
    <x v="0"/>
    <n v="0"/>
    <n v="0"/>
    <n v="0"/>
    <n v="1"/>
    <n v="0"/>
    <n v="0"/>
    <n v="0"/>
    <n v="0"/>
    <n v="0"/>
    <n v="0"/>
    <n v="0"/>
    <n v="1"/>
    <n v="0"/>
    <n v="0"/>
    <n v="0"/>
    <n v="0"/>
    <n v="0"/>
    <n v="1"/>
    <n v="0"/>
    <n v="0"/>
    <n v="3"/>
    <n v="0"/>
    <n v="1"/>
    <n v="2"/>
  </r>
  <r>
    <x v="45"/>
    <x v="3"/>
    <x v="0"/>
    <x v="1"/>
    <x v="1"/>
    <x v="0"/>
    <x v="0"/>
    <x v="1"/>
    <x v="0"/>
    <x v="1"/>
    <x v="1"/>
    <x v="1"/>
    <x v="0"/>
    <n v="0"/>
    <n v="0"/>
    <n v="0"/>
    <n v="0"/>
    <n v="0"/>
    <n v="0"/>
    <n v="0"/>
    <n v="1"/>
    <n v="0"/>
    <n v="1"/>
    <n v="1"/>
    <n v="0"/>
    <n v="1"/>
    <n v="0"/>
    <n v="0"/>
    <n v="0"/>
    <n v="0"/>
    <n v="0"/>
    <n v="0"/>
    <n v="0"/>
    <n v="4"/>
    <n v="0"/>
    <n v="2"/>
    <n v="2"/>
  </r>
  <r>
    <x v="46"/>
    <x v="3"/>
    <x v="0"/>
    <x v="0"/>
    <x v="1"/>
    <x v="0"/>
    <x v="0"/>
    <x v="1"/>
    <x v="0"/>
    <x v="1"/>
    <x v="1"/>
    <x v="1"/>
    <x v="1"/>
    <n v="0"/>
    <n v="0"/>
    <n v="0"/>
    <n v="0"/>
    <n v="0"/>
    <n v="0"/>
    <n v="0"/>
    <n v="1"/>
    <n v="1"/>
    <n v="1"/>
    <n v="0"/>
    <n v="0"/>
    <n v="0"/>
    <n v="1"/>
    <n v="0"/>
    <n v="1"/>
    <n v="0"/>
    <n v="0"/>
    <n v="1"/>
    <n v="0"/>
    <n v="8"/>
    <n v="2"/>
    <n v="3"/>
    <n v="3"/>
  </r>
  <r>
    <x v="47"/>
    <x v="3"/>
    <x v="0"/>
    <x v="1"/>
    <x v="0"/>
    <x v="0"/>
    <x v="0"/>
    <x v="1"/>
    <x v="0"/>
    <x v="1"/>
    <x v="1"/>
    <x v="1"/>
    <x v="0"/>
    <n v="1"/>
    <n v="0"/>
    <n v="0"/>
    <n v="0"/>
    <n v="0"/>
    <n v="0"/>
    <n v="0"/>
    <n v="0"/>
    <n v="0"/>
    <n v="0"/>
    <n v="0"/>
    <n v="0"/>
    <n v="0"/>
    <n v="0"/>
    <n v="0"/>
    <n v="1"/>
    <n v="0"/>
    <n v="0"/>
    <n v="1"/>
    <n v="0"/>
    <n v="4"/>
    <n v="1"/>
    <n v="1"/>
    <n v="2"/>
  </r>
  <r>
    <x v="48"/>
    <x v="3"/>
    <x v="0"/>
    <x v="1"/>
    <x v="1"/>
    <x v="0"/>
    <x v="0"/>
    <x v="1"/>
    <x v="0"/>
    <x v="1"/>
    <x v="1"/>
    <x v="1"/>
    <x v="0"/>
    <n v="0"/>
    <n v="0"/>
    <n v="0"/>
    <n v="0"/>
    <n v="0"/>
    <n v="0"/>
    <n v="0"/>
    <n v="1"/>
    <n v="0"/>
    <n v="0"/>
    <n v="0"/>
    <n v="0"/>
    <n v="0"/>
    <n v="0"/>
    <n v="0"/>
    <n v="0"/>
    <n v="0"/>
    <n v="0"/>
    <n v="1"/>
    <n v="0"/>
    <n v="2"/>
    <n v="0"/>
    <n v="1"/>
    <n v="1"/>
  </r>
  <r>
    <x v="49"/>
    <x v="3"/>
    <x v="0"/>
    <x v="1"/>
    <x v="1"/>
    <x v="0"/>
    <x v="0"/>
    <x v="1"/>
    <x v="0"/>
    <x v="1"/>
    <x v="1"/>
    <x v="0"/>
    <x v="0"/>
    <n v="0"/>
    <n v="0"/>
    <n v="0"/>
    <n v="0"/>
    <n v="0"/>
    <n v="0"/>
    <n v="0"/>
    <n v="0"/>
    <n v="0"/>
    <n v="0"/>
    <n v="0"/>
    <n v="0"/>
    <n v="0"/>
    <n v="0"/>
    <n v="0"/>
    <n v="0"/>
    <n v="0"/>
    <n v="0"/>
    <n v="0"/>
    <n v="0"/>
    <n v="1"/>
    <n v="1"/>
    <n v="0"/>
    <n v="0"/>
  </r>
  <r>
    <x v="50"/>
    <x v="3"/>
    <x v="0"/>
    <x v="1"/>
    <x v="1"/>
    <x v="0"/>
    <x v="0"/>
    <x v="1"/>
    <x v="0"/>
    <x v="1"/>
    <x v="1"/>
    <x v="1"/>
    <x v="0"/>
    <n v="0"/>
    <n v="0"/>
    <n v="0"/>
    <n v="0"/>
    <n v="0"/>
    <n v="0"/>
    <n v="0"/>
    <n v="1"/>
    <n v="0"/>
    <n v="0"/>
    <n v="0"/>
    <n v="1"/>
    <n v="0"/>
    <n v="1"/>
    <n v="0"/>
    <n v="0"/>
    <n v="0"/>
    <n v="0"/>
    <n v="1"/>
    <n v="0"/>
    <n v="4"/>
    <n v="0"/>
    <n v="1"/>
    <n v="3"/>
  </r>
  <r>
    <x v="51"/>
    <x v="3"/>
    <x v="0"/>
    <x v="1"/>
    <x v="1"/>
    <x v="0"/>
    <x v="0"/>
    <x v="1"/>
    <x v="1"/>
    <x v="1"/>
    <x v="1"/>
    <x v="1"/>
    <x v="0"/>
    <n v="0"/>
    <n v="0"/>
    <n v="1"/>
    <n v="0"/>
    <n v="0"/>
    <n v="0"/>
    <n v="0"/>
    <n v="0"/>
    <n v="0"/>
    <n v="0"/>
    <n v="0"/>
    <n v="0"/>
    <n v="1"/>
    <n v="0"/>
    <n v="0"/>
    <n v="0"/>
    <n v="0"/>
    <n v="1"/>
    <n v="0"/>
    <n v="0"/>
    <n v="4"/>
    <n v="1"/>
    <n v="1"/>
    <n v="2"/>
  </r>
  <r>
    <x v="52"/>
    <x v="3"/>
    <x v="0"/>
    <x v="1"/>
    <x v="1"/>
    <x v="0"/>
    <x v="0"/>
    <x v="1"/>
    <x v="0"/>
    <x v="1"/>
    <x v="1"/>
    <x v="1"/>
    <x v="0"/>
    <n v="1"/>
    <n v="0"/>
    <n v="0"/>
    <n v="0"/>
    <n v="1"/>
    <n v="0"/>
    <n v="0"/>
    <n v="0"/>
    <n v="1"/>
    <n v="0"/>
    <n v="0"/>
    <n v="0"/>
    <n v="0"/>
    <n v="0"/>
    <n v="0"/>
    <n v="0"/>
    <n v="1"/>
    <n v="0"/>
    <n v="0"/>
    <n v="0"/>
    <n v="4"/>
    <n v="0"/>
    <n v="3"/>
    <n v="1"/>
  </r>
  <r>
    <x v="53"/>
    <x v="3"/>
    <x v="0"/>
    <x v="1"/>
    <x v="1"/>
    <x v="1"/>
    <x v="0"/>
    <x v="1"/>
    <x v="0"/>
    <x v="1"/>
    <x v="1"/>
    <x v="0"/>
    <x v="0"/>
    <n v="0"/>
    <n v="1"/>
    <n v="1"/>
    <n v="0"/>
    <n v="1"/>
    <n v="0"/>
    <n v="0"/>
    <n v="1"/>
    <n v="1"/>
    <n v="0"/>
    <n v="0"/>
    <n v="0"/>
    <n v="0"/>
    <n v="0"/>
    <n v="0"/>
    <n v="1"/>
    <n v="1"/>
    <n v="0"/>
    <n v="1"/>
    <n v="0"/>
    <n v="10"/>
    <n v="2"/>
    <n v="5"/>
    <n v="3"/>
  </r>
  <r>
    <x v="54"/>
    <x v="4"/>
    <x v="1"/>
    <x v="1"/>
    <x v="1"/>
    <x v="0"/>
    <x v="0"/>
    <x v="1"/>
    <x v="1"/>
    <x v="1"/>
    <x v="1"/>
    <x v="1"/>
    <x v="0"/>
    <n v="0"/>
    <n v="0"/>
    <n v="1"/>
    <n v="1"/>
    <n v="0"/>
    <n v="1"/>
    <n v="1"/>
    <n v="1"/>
    <n v="0"/>
    <n v="1"/>
    <n v="0"/>
    <n v="0"/>
    <n v="1"/>
    <n v="1"/>
    <n v="1"/>
    <n v="0"/>
    <n v="1"/>
    <n v="1"/>
    <n v="0"/>
    <n v="0"/>
    <n v="12"/>
    <n v="1"/>
    <n v="6"/>
    <n v="5"/>
  </r>
  <r>
    <x v="55"/>
    <x v="4"/>
    <x v="1"/>
    <x v="1"/>
    <x v="0"/>
    <x v="0"/>
    <x v="0"/>
    <x v="1"/>
    <x v="0"/>
    <x v="0"/>
    <x v="0"/>
    <x v="1"/>
    <x v="1"/>
    <n v="1"/>
    <n v="0"/>
    <n v="1"/>
    <n v="1"/>
    <n v="1"/>
    <n v="0"/>
    <n v="1"/>
    <n v="1"/>
    <n v="1"/>
    <n v="0"/>
    <n v="0"/>
    <n v="0"/>
    <n v="0"/>
    <n v="1"/>
    <n v="1"/>
    <n v="0"/>
    <n v="1"/>
    <n v="0"/>
    <n v="0"/>
    <n v="0"/>
    <n v="14"/>
    <n v="4"/>
    <n v="7"/>
    <n v="3"/>
  </r>
  <r>
    <x v="56"/>
    <x v="4"/>
    <x v="1"/>
    <x v="1"/>
    <x v="1"/>
    <x v="1"/>
    <x v="1"/>
    <x v="1"/>
    <x v="0"/>
    <x v="1"/>
    <x v="0"/>
    <x v="1"/>
    <x v="1"/>
    <n v="1"/>
    <n v="1"/>
    <n v="1"/>
    <n v="0"/>
    <n v="1"/>
    <n v="0"/>
    <n v="1"/>
    <n v="0"/>
    <n v="1"/>
    <n v="0"/>
    <n v="0"/>
    <n v="0"/>
    <n v="0"/>
    <n v="0"/>
    <n v="0"/>
    <n v="0"/>
    <n v="1"/>
    <n v="1"/>
    <n v="1"/>
    <n v="1"/>
    <n v="14"/>
    <n v="4"/>
    <n v="6"/>
    <n v="4"/>
  </r>
  <r>
    <x v="57"/>
    <x v="4"/>
    <x v="1"/>
    <x v="0"/>
    <x v="0"/>
    <x v="0"/>
    <x v="0"/>
    <x v="1"/>
    <x v="1"/>
    <x v="1"/>
    <x v="1"/>
    <x v="1"/>
    <x v="0"/>
    <n v="1"/>
    <n v="1"/>
    <n v="0"/>
    <n v="0"/>
    <n v="0"/>
    <n v="1"/>
    <n v="0"/>
    <n v="1"/>
    <n v="1"/>
    <n v="0"/>
    <n v="0"/>
    <n v="0"/>
    <n v="1"/>
    <n v="1"/>
    <n v="1"/>
    <n v="0"/>
    <n v="1"/>
    <n v="0"/>
    <n v="0"/>
    <n v="0"/>
    <n v="12"/>
    <n v="3"/>
    <n v="5"/>
    <n v="4"/>
  </r>
  <r>
    <x v="58"/>
    <x v="4"/>
    <x v="1"/>
    <x v="1"/>
    <x v="1"/>
    <x v="1"/>
    <x v="0"/>
    <x v="1"/>
    <x v="1"/>
    <x v="0"/>
    <x v="1"/>
    <x v="1"/>
    <x v="0"/>
    <n v="0"/>
    <n v="1"/>
    <n v="1"/>
    <n v="1"/>
    <n v="1"/>
    <n v="1"/>
    <n v="0"/>
    <n v="0"/>
    <n v="1"/>
    <n v="0"/>
    <n v="0"/>
    <n v="0"/>
    <n v="0"/>
    <n v="0"/>
    <n v="0"/>
    <n v="1"/>
    <n v="0"/>
    <n v="0"/>
    <n v="0"/>
    <n v="0"/>
    <n v="10"/>
    <n v="3"/>
    <n v="6"/>
    <n v="1"/>
  </r>
  <r>
    <x v="59"/>
    <x v="4"/>
    <x v="1"/>
    <x v="1"/>
    <x v="1"/>
    <x v="0"/>
    <x v="1"/>
    <x v="0"/>
    <x v="1"/>
    <x v="1"/>
    <x v="0"/>
    <x v="1"/>
    <x v="0"/>
    <n v="0"/>
    <n v="0"/>
    <n v="0"/>
    <n v="0"/>
    <n v="0"/>
    <n v="0"/>
    <n v="0"/>
    <n v="0"/>
    <n v="0"/>
    <n v="0"/>
    <n v="1"/>
    <n v="1"/>
    <n v="1"/>
    <n v="1"/>
    <n v="0"/>
    <n v="0"/>
    <n v="0"/>
    <n v="0"/>
    <n v="1"/>
    <n v="1"/>
    <n v="10"/>
    <n v="4"/>
    <n v="0"/>
    <n v="6"/>
  </r>
  <r>
    <x v="60"/>
    <x v="4"/>
    <x v="1"/>
    <x v="0"/>
    <x v="1"/>
    <x v="0"/>
    <x v="1"/>
    <x v="1"/>
    <x v="0"/>
    <x v="1"/>
    <x v="1"/>
    <x v="1"/>
    <x v="1"/>
    <n v="1"/>
    <n v="0"/>
    <n v="0"/>
    <n v="1"/>
    <n v="1"/>
    <n v="0"/>
    <n v="1"/>
    <n v="1"/>
    <n v="0"/>
    <n v="0"/>
    <n v="1"/>
    <n v="0"/>
    <n v="0"/>
    <n v="0"/>
    <n v="0"/>
    <n v="0"/>
    <n v="0"/>
    <n v="0"/>
    <n v="0"/>
    <n v="0"/>
    <n v="9"/>
    <n v="3"/>
    <n v="5"/>
    <n v="1"/>
  </r>
  <r>
    <x v="61"/>
    <x v="4"/>
    <x v="1"/>
    <x v="0"/>
    <x v="0"/>
    <x v="0"/>
    <x v="1"/>
    <x v="0"/>
    <x v="0"/>
    <x v="1"/>
    <x v="0"/>
    <x v="0"/>
    <x v="0"/>
    <n v="0"/>
    <n v="0"/>
    <n v="0"/>
    <n v="1"/>
    <n v="0"/>
    <n v="0"/>
    <n v="0"/>
    <n v="0"/>
    <n v="1"/>
    <n v="0"/>
    <n v="1"/>
    <n v="0"/>
    <n v="0"/>
    <n v="1"/>
    <n v="1"/>
    <n v="1"/>
    <n v="0"/>
    <n v="1"/>
    <n v="0"/>
    <n v="1"/>
    <n v="14"/>
    <n v="6"/>
    <n v="2"/>
    <n v="6"/>
  </r>
  <r>
    <x v="62"/>
    <x v="4"/>
    <x v="1"/>
    <x v="1"/>
    <x v="0"/>
    <x v="0"/>
    <x v="1"/>
    <x v="0"/>
    <x v="0"/>
    <x v="0"/>
    <x v="1"/>
    <x v="1"/>
    <x v="0"/>
    <n v="0"/>
    <n v="0"/>
    <n v="0"/>
    <n v="0"/>
    <n v="0"/>
    <n v="1"/>
    <n v="0"/>
    <n v="0"/>
    <n v="0"/>
    <n v="0"/>
    <n v="0"/>
    <n v="1"/>
    <n v="0"/>
    <n v="0"/>
    <n v="1"/>
    <n v="0"/>
    <n v="1"/>
    <n v="1"/>
    <n v="0"/>
    <n v="1"/>
    <n v="10"/>
    <n v="4"/>
    <n v="1"/>
    <n v="5"/>
  </r>
  <r>
    <x v="63"/>
    <x v="4"/>
    <x v="1"/>
    <x v="1"/>
    <x v="0"/>
    <x v="1"/>
    <x v="0"/>
    <x v="1"/>
    <x v="1"/>
    <x v="0"/>
    <x v="0"/>
    <x v="1"/>
    <x v="0"/>
    <n v="1"/>
    <n v="0"/>
    <n v="0"/>
    <n v="1"/>
    <n v="0"/>
    <n v="0"/>
    <n v="1"/>
    <n v="0"/>
    <n v="0"/>
    <n v="0"/>
    <n v="1"/>
    <n v="0"/>
    <n v="0"/>
    <n v="1"/>
    <n v="1"/>
    <n v="0"/>
    <n v="0"/>
    <n v="0"/>
    <n v="1"/>
    <n v="1"/>
    <n v="13"/>
    <n v="5"/>
    <n v="3"/>
    <n v="5"/>
  </r>
  <r>
    <x v="64"/>
    <x v="5"/>
    <x v="1"/>
    <x v="0"/>
    <x v="1"/>
    <x v="0"/>
    <x v="1"/>
    <x v="1"/>
    <x v="0"/>
    <x v="0"/>
    <x v="1"/>
    <x v="1"/>
    <x v="0"/>
    <n v="1"/>
    <n v="0"/>
    <n v="1"/>
    <n v="1"/>
    <n v="0"/>
    <n v="1"/>
    <n v="0"/>
    <n v="0"/>
    <n v="1"/>
    <n v="1"/>
    <n v="0"/>
    <n v="0"/>
    <n v="1"/>
    <n v="1"/>
    <n v="0"/>
    <n v="1"/>
    <n v="1"/>
    <n v="0"/>
    <n v="1"/>
    <n v="1"/>
    <n v="15"/>
    <n v="3"/>
    <n v="6"/>
    <n v="6"/>
  </r>
  <r>
    <x v="65"/>
    <x v="5"/>
    <x v="1"/>
    <x v="0"/>
    <x v="1"/>
    <x v="1"/>
    <x v="0"/>
    <x v="0"/>
    <x v="1"/>
    <x v="0"/>
    <x v="1"/>
    <x v="1"/>
    <x v="1"/>
    <n v="0"/>
    <n v="1"/>
    <n v="0"/>
    <n v="0"/>
    <n v="1"/>
    <n v="0"/>
    <n v="1"/>
    <n v="0"/>
    <n v="1"/>
    <n v="0"/>
    <n v="0"/>
    <n v="1"/>
    <n v="1"/>
    <n v="1"/>
    <n v="0"/>
    <n v="1"/>
    <n v="0"/>
    <n v="0"/>
    <n v="1"/>
    <n v="0"/>
    <n v="15"/>
    <n v="6"/>
    <n v="4"/>
    <n v="5"/>
  </r>
  <r>
    <x v="66"/>
    <x v="5"/>
    <x v="1"/>
    <x v="0"/>
    <x v="0"/>
    <x v="0"/>
    <x v="1"/>
    <x v="1"/>
    <x v="0"/>
    <x v="1"/>
    <x v="0"/>
    <x v="0"/>
    <x v="0"/>
    <n v="1"/>
    <n v="0"/>
    <n v="0"/>
    <n v="1"/>
    <n v="0"/>
    <n v="0"/>
    <n v="1"/>
    <n v="0"/>
    <n v="0"/>
    <n v="1"/>
    <n v="0"/>
    <n v="1"/>
    <n v="0"/>
    <n v="0"/>
    <n v="0"/>
    <n v="1"/>
    <n v="1"/>
    <n v="1"/>
    <n v="1"/>
    <n v="1"/>
    <n v="15"/>
    <n v="5"/>
    <n v="4"/>
    <n v="6"/>
  </r>
  <r>
    <x v="67"/>
    <x v="5"/>
    <x v="1"/>
    <x v="1"/>
    <x v="1"/>
    <x v="1"/>
    <x v="1"/>
    <x v="1"/>
    <x v="1"/>
    <x v="1"/>
    <x v="0"/>
    <x v="1"/>
    <x v="1"/>
    <n v="1"/>
    <n v="0"/>
    <n v="0"/>
    <n v="1"/>
    <n v="1"/>
    <n v="0"/>
    <n v="1"/>
    <n v="1"/>
    <n v="1"/>
    <n v="0"/>
    <n v="1"/>
    <n v="0"/>
    <n v="0"/>
    <n v="0"/>
    <n v="1"/>
    <n v="0"/>
    <n v="0"/>
    <n v="0"/>
    <n v="0"/>
    <n v="1"/>
    <n v="14"/>
    <n v="5"/>
    <n v="6"/>
    <n v="3"/>
  </r>
  <r>
    <x v="68"/>
    <x v="5"/>
    <x v="1"/>
    <x v="0"/>
    <x v="1"/>
    <x v="0"/>
    <x v="1"/>
    <x v="1"/>
    <x v="0"/>
    <x v="1"/>
    <x v="0"/>
    <x v="1"/>
    <x v="0"/>
    <n v="1"/>
    <n v="1"/>
    <n v="1"/>
    <n v="0"/>
    <n v="0"/>
    <n v="0"/>
    <n v="1"/>
    <n v="1"/>
    <n v="1"/>
    <n v="1"/>
    <n v="0"/>
    <n v="0"/>
    <n v="0"/>
    <n v="0"/>
    <n v="0"/>
    <n v="0"/>
    <n v="0"/>
    <n v="0"/>
    <n v="0"/>
    <n v="1"/>
    <n v="11"/>
    <n v="3"/>
    <n v="7"/>
    <n v="1"/>
  </r>
  <r>
    <x v="69"/>
    <x v="5"/>
    <x v="1"/>
    <x v="1"/>
    <x v="1"/>
    <x v="0"/>
    <x v="0"/>
    <x v="0"/>
    <x v="1"/>
    <x v="1"/>
    <x v="0"/>
    <x v="1"/>
    <x v="0"/>
    <n v="0"/>
    <n v="0"/>
    <n v="1"/>
    <n v="1"/>
    <n v="1"/>
    <n v="1"/>
    <n v="0"/>
    <n v="1"/>
    <n v="0"/>
    <n v="1"/>
    <n v="0"/>
    <n v="1"/>
    <n v="0"/>
    <n v="0"/>
    <n v="1"/>
    <n v="0"/>
    <n v="0"/>
    <n v="1"/>
    <n v="0"/>
    <n v="0"/>
    <n v="12"/>
    <n v="3"/>
    <n v="6"/>
    <n v="3"/>
  </r>
  <r>
    <x v="70"/>
    <x v="5"/>
    <x v="1"/>
    <x v="0"/>
    <x v="1"/>
    <x v="0"/>
    <x v="0"/>
    <x v="1"/>
    <x v="0"/>
    <x v="1"/>
    <x v="1"/>
    <x v="1"/>
    <x v="0"/>
    <n v="0"/>
    <n v="1"/>
    <n v="1"/>
    <n v="0"/>
    <n v="0"/>
    <n v="1"/>
    <n v="1"/>
    <n v="0"/>
    <n v="0"/>
    <n v="1"/>
    <n v="0"/>
    <n v="0"/>
    <n v="0"/>
    <n v="0"/>
    <n v="0"/>
    <n v="1"/>
    <n v="0"/>
    <n v="1"/>
    <n v="1"/>
    <n v="1"/>
    <n v="10"/>
    <n v="1"/>
    <n v="5"/>
    <n v="4"/>
  </r>
  <r>
    <x v="71"/>
    <x v="5"/>
    <x v="1"/>
    <x v="0"/>
    <x v="0"/>
    <x v="0"/>
    <x v="1"/>
    <x v="0"/>
    <x v="0"/>
    <x v="0"/>
    <x v="0"/>
    <x v="1"/>
    <x v="0"/>
    <n v="1"/>
    <n v="0"/>
    <n v="0"/>
    <n v="0"/>
    <n v="0"/>
    <n v="1"/>
    <n v="0"/>
    <n v="0"/>
    <n v="0"/>
    <n v="1"/>
    <n v="1"/>
    <n v="1"/>
    <n v="1"/>
    <n v="0"/>
    <n v="0"/>
    <n v="1"/>
    <n v="1"/>
    <n v="0"/>
    <n v="1"/>
    <n v="0"/>
    <n v="15"/>
    <n v="6"/>
    <n v="3"/>
    <n v="6"/>
  </r>
  <r>
    <x v="72"/>
    <x v="6"/>
    <x v="1"/>
    <x v="1"/>
    <x v="1"/>
    <x v="0"/>
    <x v="0"/>
    <x v="1"/>
    <x v="1"/>
    <x v="1"/>
    <x v="1"/>
    <x v="1"/>
    <x v="0"/>
    <n v="0"/>
    <n v="1"/>
    <n v="0"/>
    <n v="0"/>
    <n v="0"/>
    <n v="1"/>
    <n v="0"/>
    <n v="0"/>
    <n v="0"/>
    <n v="0"/>
    <n v="1"/>
    <n v="1"/>
    <n v="1"/>
    <n v="0"/>
    <n v="0"/>
    <n v="1"/>
    <n v="0"/>
    <n v="0"/>
    <n v="1"/>
    <n v="0"/>
    <n v="8"/>
    <n v="1"/>
    <n v="2"/>
    <n v="5"/>
  </r>
  <r>
    <x v="73"/>
    <x v="6"/>
    <x v="1"/>
    <x v="0"/>
    <x v="0"/>
    <x v="1"/>
    <x v="1"/>
    <x v="1"/>
    <x v="0"/>
    <x v="1"/>
    <x v="1"/>
    <x v="1"/>
    <x v="1"/>
    <n v="1"/>
    <n v="1"/>
    <n v="0"/>
    <n v="0"/>
    <n v="0"/>
    <n v="0"/>
    <n v="0"/>
    <n v="0"/>
    <n v="0"/>
    <n v="0"/>
    <n v="0"/>
    <n v="1"/>
    <n v="1"/>
    <n v="0"/>
    <n v="0"/>
    <n v="0"/>
    <n v="1"/>
    <n v="0"/>
    <n v="1"/>
    <n v="1"/>
    <n v="12"/>
    <n v="5"/>
    <n v="2"/>
    <n v="5"/>
  </r>
  <r>
    <x v="74"/>
    <x v="6"/>
    <x v="1"/>
    <x v="0"/>
    <x v="1"/>
    <x v="0"/>
    <x v="1"/>
    <x v="1"/>
    <x v="0"/>
    <x v="1"/>
    <x v="0"/>
    <x v="0"/>
    <x v="0"/>
    <n v="1"/>
    <n v="1"/>
    <n v="0"/>
    <n v="0"/>
    <n v="1"/>
    <n v="0"/>
    <n v="1"/>
    <n v="0"/>
    <n v="0"/>
    <n v="1"/>
    <n v="0"/>
    <n v="0"/>
    <n v="0"/>
    <n v="1"/>
    <n v="0"/>
    <n v="0"/>
    <n v="1"/>
    <n v="1"/>
    <n v="0"/>
    <n v="0"/>
    <n v="12"/>
    <n v="4"/>
    <n v="5"/>
    <n v="3"/>
  </r>
  <r>
    <x v="75"/>
    <x v="6"/>
    <x v="1"/>
    <x v="1"/>
    <x v="0"/>
    <x v="1"/>
    <x v="0"/>
    <x v="0"/>
    <x v="0"/>
    <x v="0"/>
    <x v="1"/>
    <x v="1"/>
    <x v="0"/>
    <n v="0"/>
    <n v="1"/>
    <n v="1"/>
    <n v="1"/>
    <n v="0"/>
    <n v="0"/>
    <n v="0"/>
    <n v="0"/>
    <n v="0"/>
    <n v="0"/>
    <n v="0"/>
    <n v="0"/>
    <n v="0"/>
    <n v="1"/>
    <n v="0"/>
    <n v="0"/>
    <n v="1"/>
    <n v="0"/>
    <n v="0"/>
    <n v="1"/>
    <n v="10"/>
    <n v="4"/>
    <n v="3"/>
    <n v="3"/>
  </r>
  <r>
    <x v="76"/>
    <x v="6"/>
    <x v="1"/>
    <x v="0"/>
    <x v="1"/>
    <x v="1"/>
    <x v="0"/>
    <x v="1"/>
    <x v="1"/>
    <x v="1"/>
    <x v="1"/>
    <x v="0"/>
    <x v="1"/>
    <n v="0"/>
    <n v="0"/>
    <n v="1"/>
    <n v="0"/>
    <n v="0"/>
    <n v="1"/>
    <n v="1"/>
    <n v="1"/>
    <n v="0"/>
    <n v="0"/>
    <n v="1"/>
    <n v="1"/>
    <n v="1"/>
    <n v="1"/>
    <n v="0"/>
    <n v="0"/>
    <n v="0"/>
    <n v="0"/>
    <n v="0"/>
    <n v="1"/>
    <n v="14"/>
    <n v="5"/>
    <n v="4"/>
    <n v="5"/>
  </r>
  <r>
    <x v="77"/>
    <x v="6"/>
    <x v="1"/>
    <x v="0"/>
    <x v="0"/>
    <x v="1"/>
    <x v="1"/>
    <x v="1"/>
    <x v="0"/>
    <x v="0"/>
    <x v="0"/>
    <x v="1"/>
    <x v="1"/>
    <n v="1"/>
    <n v="0"/>
    <n v="1"/>
    <n v="0"/>
    <n v="0"/>
    <n v="0"/>
    <n v="0"/>
    <n v="0"/>
    <n v="0"/>
    <n v="0"/>
    <n v="0"/>
    <n v="0"/>
    <n v="0"/>
    <n v="0"/>
    <n v="1"/>
    <n v="0"/>
    <n v="0"/>
    <n v="0"/>
    <n v="0"/>
    <n v="0"/>
    <n v="10"/>
    <n v="7"/>
    <n v="2"/>
    <n v="1"/>
  </r>
  <r>
    <x v="78"/>
    <x v="6"/>
    <x v="1"/>
    <x v="1"/>
    <x v="1"/>
    <x v="0"/>
    <x v="1"/>
    <x v="0"/>
    <x v="1"/>
    <x v="0"/>
    <x v="1"/>
    <x v="0"/>
    <x v="1"/>
    <n v="1"/>
    <n v="1"/>
    <n v="1"/>
    <n v="0"/>
    <n v="0"/>
    <n v="0"/>
    <n v="0"/>
    <n v="0"/>
    <n v="0"/>
    <n v="1"/>
    <n v="0"/>
    <n v="0"/>
    <n v="0"/>
    <n v="1"/>
    <n v="0"/>
    <n v="1"/>
    <n v="1"/>
    <n v="0"/>
    <n v="0"/>
    <n v="0"/>
    <n v="13"/>
    <n v="6"/>
    <n v="4"/>
    <n v="3"/>
  </r>
  <r>
    <x v="79"/>
    <x v="6"/>
    <x v="1"/>
    <x v="0"/>
    <x v="1"/>
    <x v="0"/>
    <x v="1"/>
    <x v="1"/>
    <x v="0"/>
    <x v="1"/>
    <x v="1"/>
    <x v="1"/>
    <x v="1"/>
    <n v="0"/>
    <n v="0"/>
    <n v="0"/>
    <n v="1"/>
    <n v="0"/>
    <n v="0"/>
    <n v="1"/>
    <n v="0"/>
    <n v="0"/>
    <n v="1"/>
    <n v="0"/>
    <n v="0"/>
    <n v="0"/>
    <n v="1"/>
    <n v="0"/>
    <n v="0"/>
    <n v="0"/>
    <n v="1"/>
    <n v="0"/>
    <n v="1"/>
    <n v="9"/>
    <n v="3"/>
    <n v="3"/>
    <n v="3"/>
  </r>
  <r>
    <x v="80"/>
    <x v="6"/>
    <x v="1"/>
    <x v="1"/>
    <x v="0"/>
    <x v="1"/>
    <x v="1"/>
    <x v="1"/>
    <x v="0"/>
    <x v="1"/>
    <x v="0"/>
    <x v="0"/>
    <x v="0"/>
    <n v="1"/>
    <n v="1"/>
    <n v="0"/>
    <n v="0"/>
    <n v="0"/>
    <n v="0"/>
    <n v="1"/>
    <n v="0"/>
    <n v="0"/>
    <n v="0"/>
    <n v="0"/>
    <n v="0"/>
    <n v="0"/>
    <n v="0"/>
    <n v="1"/>
    <n v="0"/>
    <n v="1"/>
    <n v="0"/>
    <n v="1"/>
    <n v="0"/>
    <n v="11"/>
    <n v="5"/>
    <n v="3"/>
    <n v="3"/>
  </r>
  <r>
    <x v="81"/>
    <x v="6"/>
    <x v="1"/>
    <x v="1"/>
    <x v="0"/>
    <x v="0"/>
    <x v="0"/>
    <x v="1"/>
    <x v="1"/>
    <x v="1"/>
    <x v="1"/>
    <x v="1"/>
    <x v="0"/>
    <n v="0"/>
    <n v="1"/>
    <n v="1"/>
    <n v="1"/>
    <n v="0"/>
    <n v="0"/>
    <n v="0"/>
    <n v="1"/>
    <n v="0"/>
    <n v="0"/>
    <n v="0"/>
    <n v="1"/>
    <n v="0"/>
    <n v="0"/>
    <n v="1"/>
    <n v="0"/>
    <n v="0"/>
    <n v="1"/>
    <n v="0"/>
    <n v="0"/>
    <n v="9"/>
    <n v="2"/>
    <n v="4"/>
    <n v="3"/>
  </r>
  <r>
    <x v="82"/>
    <x v="6"/>
    <x v="1"/>
    <x v="0"/>
    <x v="0"/>
    <x v="1"/>
    <x v="0"/>
    <x v="1"/>
    <x v="1"/>
    <x v="1"/>
    <x v="0"/>
    <x v="0"/>
    <x v="0"/>
    <n v="1"/>
    <n v="1"/>
    <n v="1"/>
    <n v="1"/>
    <n v="1"/>
    <n v="0"/>
    <n v="1"/>
    <n v="0"/>
    <n v="1"/>
    <n v="0"/>
    <n v="0"/>
    <n v="0"/>
    <n v="0"/>
    <n v="0"/>
    <n v="0"/>
    <n v="1"/>
    <n v="0"/>
    <n v="0"/>
    <n v="0"/>
    <n v="0"/>
    <n v="14"/>
    <n v="6"/>
    <n v="7"/>
    <n v="1"/>
  </r>
  <r>
    <x v="83"/>
    <x v="6"/>
    <x v="1"/>
    <x v="0"/>
    <x v="1"/>
    <x v="1"/>
    <x v="0"/>
    <x v="1"/>
    <x v="0"/>
    <x v="1"/>
    <x v="1"/>
    <x v="0"/>
    <x v="1"/>
    <n v="1"/>
    <n v="1"/>
    <n v="1"/>
    <n v="1"/>
    <n v="1"/>
    <n v="0"/>
    <n v="0"/>
    <n v="1"/>
    <n v="0"/>
    <n v="0"/>
    <n v="1"/>
    <n v="0"/>
    <n v="0"/>
    <n v="0"/>
    <n v="0"/>
    <n v="1"/>
    <n v="0"/>
    <n v="1"/>
    <n v="1"/>
    <n v="0"/>
    <n v="14"/>
    <n v="4"/>
    <n v="6"/>
    <n v="4"/>
  </r>
  <r>
    <x v="84"/>
    <x v="6"/>
    <x v="1"/>
    <x v="1"/>
    <x v="0"/>
    <x v="0"/>
    <x v="1"/>
    <x v="0"/>
    <x v="0"/>
    <x v="0"/>
    <x v="1"/>
    <x v="1"/>
    <x v="0"/>
    <n v="0"/>
    <n v="0"/>
    <n v="1"/>
    <n v="0"/>
    <n v="0"/>
    <n v="1"/>
    <n v="0"/>
    <n v="0"/>
    <n v="0"/>
    <n v="1"/>
    <n v="0"/>
    <n v="0"/>
    <n v="0"/>
    <n v="1"/>
    <n v="1"/>
    <n v="1"/>
    <n v="1"/>
    <n v="1"/>
    <n v="1"/>
    <n v="0"/>
    <n v="13"/>
    <n v="4"/>
    <n v="3"/>
    <n v="6"/>
  </r>
  <r>
    <x v="85"/>
    <x v="6"/>
    <x v="1"/>
    <x v="1"/>
    <x v="1"/>
    <x v="0"/>
    <x v="0"/>
    <x v="0"/>
    <x v="1"/>
    <x v="1"/>
    <x v="0"/>
    <x v="1"/>
    <x v="0"/>
    <n v="1"/>
    <n v="0"/>
    <n v="1"/>
    <n v="1"/>
    <n v="1"/>
    <n v="0"/>
    <n v="1"/>
    <n v="0"/>
    <n v="1"/>
    <n v="1"/>
    <n v="1"/>
    <n v="1"/>
    <n v="0"/>
    <n v="0"/>
    <n v="0"/>
    <n v="0"/>
    <n v="1"/>
    <n v="1"/>
    <n v="0"/>
    <n v="1"/>
    <n v="15"/>
    <n v="3"/>
    <n v="7"/>
    <n v="5"/>
  </r>
  <r>
    <x v="86"/>
    <x v="6"/>
    <x v="1"/>
    <x v="1"/>
    <x v="1"/>
    <x v="0"/>
    <x v="1"/>
    <x v="1"/>
    <x v="1"/>
    <x v="0"/>
    <x v="1"/>
    <x v="0"/>
    <x v="0"/>
    <n v="1"/>
    <n v="1"/>
    <n v="0"/>
    <n v="0"/>
    <n v="0"/>
    <n v="1"/>
    <n v="1"/>
    <n v="1"/>
    <n v="1"/>
    <n v="1"/>
    <n v="0"/>
    <n v="1"/>
    <n v="0"/>
    <n v="0"/>
    <n v="0"/>
    <n v="0"/>
    <n v="0"/>
    <n v="0"/>
    <n v="1"/>
    <n v="1"/>
    <n v="14"/>
    <n v="4"/>
    <n v="7"/>
    <n v="3"/>
  </r>
  <r>
    <x v="87"/>
    <x v="6"/>
    <x v="1"/>
    <x v="1"/>
    <x v="1"/>
    <x v="0"/>
    <x v="1"/>
    <x v="0"/>
    <x v="0"/>
    <x v="1"/>
    <x v="1"/>
    <x v="1"/>
    <x v="1"/>
    <n v="1"/>
    <n v="0"/>
    <n v="1"/>
    <n v="0"/>
    <n v="1"/>
    <n v="1"/>
    <n v="1"/>
    <n v="1"/>
    <n v="0"/>
    <n v="0"/>
    <n v="0"/>
    <n v="0"/>
    <n v="0"/>
    <n v="1"/>
    <n v="0"/>
    <n v="0"/>
    <n v="1"/>
    <n v="1"/>
    <n v="1"/>
    <n v="1"/>
    <n v="14"/>
    <n v="3"/>
    <n v="6"/>
    <n v="5"/>
  </r>
  <r>
    <x v="88"/>
    <x v="6"/>
    <x v="1"/>
    <x v="1"/>
    <x v="1"/>
    <x v="0"/>
    <x v="0"/>
    <x v="1"/>
    <x v="0"/>
    <x v="1"/>
    <x v="1"/>
    <x v="0"/>
    <x v="0"/>
    <n v="0"/>
    <n v="0"/>
    <n v="1"/>
    <n v="0"/>
    <n v="0"/>
    <n v="1"/>
    <n v="0"/>
    <n v="0"/>
    <n v="0"/>
    <n v="1"/>
    <n v="0"/>
    <n v="1"/>
    <n v="0"/>
    <n v="1"/>
    <n v="0"/>
    <n v="0"/>
    <n v="1"/>
    <n v="0"/>
    <n v="1"/>
    <n v="0"/>
    <n v="8"/>
    <n v="1"/>
    <n v="3"/>
    <n v="4"/>
  </r>
  <r>
    <x v="89"/>
    <x v="6"/>
    <x v="1"/>
    <x v="1"/>
    <x v="1"/>
    <x v="0"/>
    <x v="0"/>
    <x v="1"/>
    <x v="0"/>
    <x v="0"/>
    <x v="1"/>
    <x v="0"/>
    <x v="0"/>
    <n v="1"/>
    <n v="1"/>
    <n v="0"/>
    <n v="0"/>
    <n v="0"/>
    <n v="0"/>
    <n v="1"/>
    <n v="0"/>
    <n v="1"/>
    <n v="1"/>
    <n v="0"/>
    <n v="0"/>
    <n v="0"/>
    <n v="1"/>
    <n v="1"/>
    <n v="0"/>
    <n v="0"/>
    <n v="0"/>
    <n v="0"/>
    <n v="0"/>
    <n v="9"/>
    <n v="2"/>
    <n v="5"/>
    <n v="2"/>
  </r>
  <r>
    <x v="90"/>
    <x v="6"/>
    <x v="1"/>
    <x v="0"/>
    <x v="1"/>
    <x v="0"/>
    <x v="0"/>
    <x v="1"/>
    <x v="0"/>
    <x v="0"/>
    <x v="1"/>
    <x v="0"/>
    <x v="1"/>
    <n v="1"/>
    <n v="0"/>
    <n v="0"/>
    <n v="0"/>
    <n v="1"/>
    <n v="1"/>
    <n v="1"/>
    <n v="0"/>
    <n v="0"/>
    <n v="1"/>
    <n v="0"/>
    <n v="0"/>
    <n v="0"/>
    <n v="0"/>
    <n v="0"/>
    <n v="1"/>
    <n v="1"/>
    <n v="1"/>
    <n v="1"/>
    <n v="0"/>
    <n v="13"/>
    <n v="4"/>
    <n v="5"/>
    <n v="4"/>
  </r>
  <r>
    <x v="91"/>
    <x v="6"/>
    <x v="1"/>
    <x v="1"/>
    <x v="0"/>
    <x v="0"/>
    <x v="0"/>
    <x v="0"/>
    <x v="1"/>
    <x v="1"/>
    <x v="1"/>
    <x v="0"/>
    <x v="1"/>
    <n v="0"/>
    <n v="0"/>
    <n v="0"/>
    <n v="0"/>
    <n v="0"/>
    <n v="0"/>
    <n v="0"/>
    <n v="0"/>
    <n v="0"/>
    <n v="0"/>
    <n v="1"/>
    <n v="1"/>
    <n v="1"/>
    <n v="0"/>
    <n v="1"/>
    <n v="1"/>
    <n v="0"/>
    <n v="1"/>
    <n v="1"/>
    <n v="0"/>
    <n v="12"/>
    <n v="5"/>
    <n v="0"/>
    <n v="7"/>
  </r>
  <r>
    <x v="92"/>
    <x v="6"/>
    <x v="1"/>
    <x v="1"/>
    <x v="1"/>
    <x v="0"/>
    <x v="0"/>
    <x v="1"/>
    <x v="0"/>
    <x v="1"/>
    <x v="1"/>
    <x v="0"/>
    <x v="0"/>
    <n v="0"/>
    <n v="1"/>
    <n v="1"/>
    <n v="0"/>
    <n v="1"/>
    <n v="1"/>
    <n v="0"/>
    <n v="0"/>
    <n v="0"/>
    <n v="0"/>
    <n v="0"/>
    <n v="1"/>
    <n v="0"/>
    <n v="0"/>
    <n v="1"/>
    <n v="0"/>
    <n v="1"/>
    <n v="1"/>
    <n v="1"/>
    <n v="0"/>
    <n v="10"/>
    <n v="1"/>
    <n v="4"/>
    <n v="5"/>
  </r>
  <r>
    <x v="93"/>
    <x v="6"/>
    <x v="1"/>
    <x v="0"/>
    <x v="0"/>
    <x v="1"/>
    <x v="0"/>
    <x v="0"/>
    <x v="1"/>
    <x v="1"/>
    <x v="1"/>
    <x v="0"/>
    <x v="0"/>
    <n v="0"/>
    <n v="0"/>
    <n v="1"/>
    <n v="0"/>
    <n v="0"/>
    <n v="1"/>
    <n v="0"/>
    <n v="0"/>
    <n v="0"/>
    <n v="0"/>
    <n v="1"/>
    <n v="0"/>
    <n v="1"/>
    <n v="0"/>
    <n v="0"/>
    <n v="1"/>
    <n v="0"/>
    <n v="1"/>
    <n v="0"/>
    <n v="0"/>
    <n v="12"/>
    <n v="6"/>
    <n v="2"/>
    <n v="4"/>
  </r>
  <r>
    <x v="94"/>
    <x v="6"/>
    <x v="1"/>
    <x v="0"/>
    <x v="0"/>
    <x v="0"/>
    <x v="1"/>
    <x v="1"/>
    <x v="0"/>
    <x v="1"/>
    <x v="0"/>
    <x v="1"/>
    <x v="1"/>
    <n v="1"/>
    <n v="1"/>
    <n v="0"/>
    <n v="0"/>
    <n v="0"/>
    <n v="1"/>
    <n v="0"/>
    <n v="1"/>
    <n v="1"/>
    <n v="0"/>
    <n v="0"/>
    <n v="0"/>
    <n v="0"/>
    <n v="1"/>
    <n v="1"/>
    <n v="0"/>
    <n v="0"/>
    <n v="0"/>
    <n v="1"/>
    <n v="0"/>
    <n v="13"/>
    <n v="5"/>
    <n v="5"/>
    <n v="3"/>
  </r>
  <r>
    <x v="95"/>
    <x v="7"/>
    <x v="1"/>
    <x v="0"/>
    <x v="1"/>
    <x v="0"/>
    <x v="1"/>
    <x v="1"/>
    <x v="1"/>
    <x v="1"/>
    <x v="0"/>
    <x v="1"/>
    <x v="1"/>
    <n v="0"/>
    <n v="1"/>
    <n v="0"/>
    <n v="1"/>
    <n v="0"/>
    <n v="1"/>
    <n v="0"/>
    <n v="0"/>
    <n v="1"/>
    <n v="1"/>
    <n v="0"/>
    <n v="1"/>
    <n v="1"/>
    <n v="1"/>
    <n v="0"/>
    <n v="0"/>
    <n v="1"/>
    <n v="0"/>
    <n v="0"/>
    <n v="0"/>
    <n v="14"/>
    <n v="5"/>
    <n v="5"/>
    <n v="4"/>
  </r>
  <r>
    <x v="96"/>
    <x v="7"/>
    <x v="1"/>
    <x v="0"/>
    <x v="1"/>
    <x v="0"/>
    <x v="0"/>
    <x v="0"/>
    <x v="0"/>
    <x v="1"/>
    <x v="1"/>
    <x v="1"/>
    <x v="1"/>
    <n v="0"/>
    <n v="0"/>
    <n v="0"/>
    <n v="0"/>
    <n v="0"/>
    <n v="1"/>
    <n v="1"/>
    <n v="0"/>
    <n v="0"/>
    <n v="0"/>
    <n v="0"/>
    <n v="0"/>
    <n v="0"/>
    <n v="1"/>
    <n v="1"/>
    <n v="0"/>
    <n v="0"/>
    <n v="1"/>
    <n v="1"/>
    <n v="0"/>
    <n v="9"/>
    <n v="3"/>
    <n v="2"/>
    <n v="4"/>
  </r>
  <r>
    <x v="97"/>
    <x v="7"/>
    <x v="1"/>
    <x v="1"/>
    <x v="1"/>
    <x v="0"/>
    <x v="1"/>
    <x v="1"/>
    <x v="0"/>
    <x v="1"/>
    <x v="1"/>
    <x v="0"/>
    <x v="1"/>
    <n v="0"/>
    <n v="0"/>
    <n v="0"/>
    <n v="1"/>
    <n v="1"/>
    <n v="1"/>
    <n v="0"/>
    <n v="0"/>
    <n v="1"/>
    <n v="1"/>
    <n v="0"/>
    <n v="0"/>
    <n v="1"/>
    <n v="0"/>
    <n v="1"/>
    <n v="0"/>
    <n v="0"/>
    <n v="0"/>
    <n v="0"/>
    <n v="1"/>
    <n v="11"/>
    <n v="3"/>
    <n v="5"/>
    <n v="3"/>
  </r>
  <r>
    <x v="98"/>
    <x v="7"/>
    <x v="1"/>
    <x v="1"/>
    <x v="1"/>
    <x v="1"/>
    <x v="1"/>
    <x v="1"/>
    <x v="1"/>
    <x v="1"/>
    <x v="1"/>
    <x v="1"/>
    <x v="0"/>
    <n v="1"/>
    <n v="0"/>
    <n v="0"/>
    <n v="1"/>
    <n v="0"/>
    <n v="0"/>
    <n v="1"/>
    <n v="1"/>
    <n v="1"/>
    <n v="1"/>
    <n v="0"/>
    <n v="0"/>
    <n v="0"/>
    <n v="1"/>
    <n v="1"/>
    <n v="1"/>
    <n v="1"/>
    <n v="0"/>
    <n v="0"/>
    <n v="0"/>
    <n v="13"/>
    <n v="3"/>
    <n v="6"/>
    <n v="4"/>
  </r>
  <r>
    <x v="99"/>
    <x v="7"/>
    <x v="1"/>
    <x v="0"/>
    <x v="0"/>
    <x v="0"/>
    <x v="0"/>
    <x v="1"/>
    <x v="1"/>
    <x v="1"/>
    <x v="1"/>
    <x v="0"/>
    <x v="0"/>
    <n v="1"/>
    <n v="0"/>
    <n v="1"/>
    <n v="0"/>
    <n v="0"/>
    <n v="0"/>
    <n v="1"/>
    <n v="1"/>
    <n v="1"/>
    <n v="0"/>
    <n v="0"/>
    <n v="1"/>
    <n v="1"/>
    <n v="0"/>
    <n v="1"/>
    <n v="0"/>
    <n v="0"/>
    <n v="0"/>
    <n v="0"/>
    <n v="0"/>
    <n v="12"/>
    <n v="4"/>
    <n v="5"/>
    <n v="3"/>
  </r>
  <r>
    <x v="100"/>
    <x v="7"/>
    <x v="1"/>
    <x v="1"/>
    <x v="0"/>
    <x v="1"/>
    <x v="0"/>
    <x v="0"/>
    <x v="0"/>
    <x v="0"/>
    <x v="1"/>
    <x v="0"/>
    <x v="0"/>
    <n v="0"/>
    <n v="0"/>
    <n v="0"/>
    <n v="1"/>
    <n v="0"/>
    <n v="1"/>
    <n v="0"/>
    <n v="0"/>
    <n v="0"/>
    <n v="0"/>
    <n v="1"/>
    <n v="0"/>
    <n v="0"/>
    <n v="0"/>
    <n v="0"/>
    <n v="0"/>
    <n v="0"/>
    <n v="0"/>
    <n v="0"/>
    <n v="0"/>
    <n v="8"/>
    <n v="5"/>
    <n v="2"/>
    <n v="1"/>
  </r>
  <r>
    <x v="101"/>
    <x v="7"/>
    <x v="1"/>
    <x v="0"/>
    <x v="0"/>
    <x v="1"/>
    <x v="0"/>
    <x v="1"/>
    <x v="0"/>
    <x v="1"/>
    <x v="0"/>
    <x v="1"/>
    <x v="0"/>
    <n v="1"/>
    <n v="0"/>
    <n v="0"/>
    <n v="1"/>
    <n v="0"/>
    <n v="1"/>
    <n v="0"/>
    <n v="1"/>
    <n v="1"/>
    <n v="1"/>
    <n v="1"/>
    <n v="0"/>
    <n v="1"/>
    <n v="1"/>
    <n v="1"/>
    <n v="1"/>
    <n v="0"/>
    <n v="0"/>
    <n v="0"/>
    <n v="0"/>
    <n v="15"/>
    <n v="4"/>
    <n v="6"/>
    <n v="5"/>
  </r>
  <r>
    <x v="102"/>
    <x v="7"/>
    <x v="1"/>
    <x v="0"/>
    <x v="1"/>
    <x v="1"/>
    <x v="0"/>
    <x v="1"/>
    <x v="0"/>
    <x v="1"/>
    <x v="1"/>
    <x v="0"/>
    <x v="1"/>
    <n v="1"/>
    <n v="1"/>
    <n v="0"/>
    <n v="1"/>
    <n v="1"/>
    <n v="0"/>
    <n v="1"/>
    <n v="0"/>
    <n v="0"/>
    <n v="1"/>
    <n v="0"/>
    <n v="0"/>
    <n v="0"/>
    <n v="0"/>
    <n v="1"/>
    <n v="0"/>
    <n v="0"/>
    <n v="1"/>
    <n v="0"/>
    <n v="0"/>
    <n v="12"/>
    <n v="4"/>
    <n v="6"/>
    <n v="2"/>
  </r>
  <r>
    <x v="103"/>
    <x v="7"/>
    <x v="1"/>
    <x v="1"/>
    <x v="0"/>
    <x v="0"/>
    <x v="0"/>
    <x v="0"/>
    <x v="0"/>
    <x v="0"/>
    <x v="1"/>
    <x v="0"/>
    <x v="1"/>
    <n v="1"/>
    <n v="1"/>
    <n v="0"/>
    <n v="1"/>
    <n v="1"/>
    <n v="0"/>
    <n v="1"/>
    <n v="1"/>
    <n v="0"/>
    <n v="0"/>
    <n v="1"/>
    <n v="0"/>
    <n v="1"/>
    <n v="0"/>
    <n v="0"/>
    <n v="0"/>
    <n v="0"/>
    <n v="0"/>
    <n v="0"/>
    <n v="0"/>
    <n v="13"/>
    <n v="5"/>
    <n v="6"/>
    <n v="2"/>
  </r>
</pivotCacheRecords>
</file>

<file path=xl/pivotCache/pivotCacheRecords5.xml><?xml version="1.0" encoding="utf-8"?>
<pivotCacheRecords xmlns="http://schemas.openxmlformats.org/spreadsheetml/2006/main" xmlns:r="http://schemas.openxmlformats.org/officeDocument/2006/relationships" count="30">
  <r>
    <x v="0"/>
    <x v="0"/>
    <n v="2"/>
    <n v="1"/>
    <n v="3"/>
    <n v="1"/>
    <n v="3"/>
    <n v="6"/>
    <n v="10"/>
    <n v="5"/>
    <n v="7.2"/>
    <n v="26.5"/>
    <n v="32.4"/>
    <n v="28.6"/>
    <n v="68"/>
    <n v="2.1"/>
    <n v="420"/>
    <n v="5.0000000000000001E-4"/>
    <n v="5.0000000000000001E-4"/>
    <n v="0.17699999999999999"/>
    <n v="3.5000000000000003E-2"/>
    <n v="5.0000000000000001E-4"/>
    <n v="4.4999999999999998E-2"/>
    <n v="7"/>
  </r>
  <r>
    <x v="1"/>
    <x v="0"/>
    <n v="2"/>
    <n v="1"/>
    <n v="4"/>
    <n v="1"/>
    <n v="5"/>
    <n v="2"/>
    <n v="10"/>
    <n v="4"/>
    <n v="7"/>
    <n v="26.8"/>
    <n v="38.9"/>
    <n v="45.2"/>
    <n v="65"/>
    <n v="3"/>
    <n v="460"/>
    <n v="5.0000000000000001E-3"/>
    <n v="5.0000000000000001E-4"/>
    <n v="0.24299999999999999"/>
    <n v="1.9E-2"/>
    <n v="5.0000000000000001E-4"/>
    <n v="7.1999999999999995E-2"/>
    <n v="8"/>
  </r>
  <r>
    <x v="2"/>
    <x v="0"/>
    <n v="0"/>
    <n v="2"/>
    <n v="1"/>
    <n v="1"/>
    <n v="3"/>
    <n v="2"/>
    <n v="8"/>
    <n v="4"/>
    <n v="6.8"/>
    <n v="27"/>
    <n v="41.2"/>
    <n v="52.4"/>
    <n v="62"/>
    <n v="3.8"/>
    <n v="500"/>
    <n v="5.0000000000000001E-4"/>
    <n v="5.0000000000000001E-4"/>
    <n v="0.10100000000000001"/>
    <n v="2.4E-2"/>
    <n v="5.0000000000000001E-4"/>
    <n v="9.8000000000000004E-2"/>
    <n v="4"/>
  </r>
  <r>
    <x v="3"/>
    <x v="0"/>
    <n v="1"/>
    <n v="3"/>
    <n v="2"/>
    <n v="0"/>
    <n v="5"/>
    <n v="5"/>
    <n v="10"/>
    <n v="3"/>
    <n v="6.7"/>
    <n v="27.2"/>
    <n v="45.6"/>
    <n v="60.8"/>
    <n v="58"/>
    <n v="4.2"/>
    <n v="540"/>
    <n v="5.0000000000000001E-4"/>
    <n v="5.0000000000000001E-4"/>
    <n v="0.16700000000000001"/>
    <n v="7.0000000000000001E-3"/>
    <n v="5.0000000000000001E-4"/>
    <n v="7.3999999999999996E-2"/>
    <n v="7"/>
  </r>
  <r>
    <x v="4"/>
    <x v="0"/>
    <n v="3"/>
    <n v="4"/>
    <n v="4"/>
    <n v="0"/>
    <n v="3"/>
    <n v="3"/>
    <n v="7"/>
    <n v="3"/>
    <n v="6.6"/>
    <n v="27.5"/>
    <n v="49.8"/>
    <n v="72.599999999999994"/>
    <n v="34"/>
    <n v="5"/>
    <n v="580"/>
    <n v="5.0000000000000001E-4"/>
    <n v="5.0000000000000001E-4"/>
    <n v="0.114"/>
    <n v="2.1000000000000001E-2"/>
    <n v="5.0000000000000001E-4"/>
    <n v="8.8999999999999996E-2"/>
    <n v="11"/>
  </r>
  <r>
    <x v="5"/>
    <x v="0"/>
    <n v="2"/>
    <n v="0"/>
    <n v="2"/>
    <n v="1"/>
    <n v="5"/>
    <n v="3"/>
    <n v="9"/>
    <n v="3"/>
    <n v="6.5"/>
    <n v="27.8"/>
    <n v="52.4"/>
    <n v="88.4"/>
    <n v="48"/>
    <n v="6.3"/>
    <n v="640"/>
    <n v="5.0000000000000001E-4"/>
    <n v="5.0000000000000001E-4"/>
    <n v="0.155"/>
    <n v="1.7999999999999999E-2"/>
    <n v="5.0000000000000001E-4"/>
    <n v="5.2999999999999999E-2"/>
    <n v="5"/>
  </r>
  <r>
    <x v="6"/>
    <x v="0"/>
    <n v="1"/>
    <n v="0"/>
    <n v="1"/>
    <n v="0"/>
    <n v="4"/>
    <n v="3"/>
    <n v="7"/>
    <n v="2"/>
    <n v="6.4"/>
    <n v="28"/>
    <n v="56.7"/>
    <n v="96.3"/>
    <n v="42"/>
    <n v="7.1"/>
    <n v="700"/>
    <n v="5.0000000000000001E-4"/>
    <n v="5.0000000000000001E-4"/>
    <n v="0.17399999999999999"/>
    <n v="1.2E-2"/>
    <n v="5.0000000000000001E-4"/>
    <n v="0.112"/>
    <n v="2"/>
  </r>
  <r>
    <x v="7"/>
    <x v="0"/>
    <n v="1"/>
    <n v="0"/>
    <n v="0"/>
    <n v="0"/>
    <n v="5"/>
    <n v="5"/>
    <n v="6"/>
    <n v="2"/>
    <n v="6.2"/>
    <n v="29"/>
    <n v="60.3"/>
    <n v="108.5"/>
    <n v="38"/>
    <n v="8"/>
    <n v="760"/>
    <n v="5.0000000000000001E-4"/>
    <n v="5.0000000000000001E-4"/>
    <n v="0.26100000000000001"/>
    <n v="1.0999999999999999E-2"/>
    <n v="5.0000000000000001E-4"/>
    <n v="6.7000000000000004E-2"/>
    <n v="1"/>
  </r>
  <r>
    <x v="8"/>
    <x v="0"/>
    <n v="4"/>
    <n v="0"/>
    <n v="1"/>
    <n v="2"/>
    <n v="1"/>
    <n v="1"/>
    <n v="13"/>
    <n v="5"/>
    <n v="6.1"/>
    <n v="28.8"/>
    <n v="62.5"/>
    <n v="116.2"/>
    <n v="35"/>
    <n v="8.5"/>
    <n v="800"/>
    <n v="1.4E-2"/>
    <n v="5.0000000000000001E-4"/>
    <n v="0.315"/>
    <n v="5.0000000000000001E-3"/>
    <n v="5.0000000000000001E-4"/>
    <n v="0.24299999999999999"/>
    <n v="7"/>
  </r>
  <r>
    <x v="9"/>
    <x v="0"/>
    <n v="6"/>
    <n v="1"/>
    <n v="4"/>
    <n v="1"/>
    <n v="3"/>
    <n v="2"/>
    <n v="10"/>
    <n v="5"/>
    <n v="6.1"/>
    <n v="29"/>
    <n v="65.3"/>
    <n v="124.6"/>
    <n v="32"/>
    <n v="9"/>
    <n v="820"/>
    <n v="8.0000000000000002E-3"/>
    <n v="5.0000000000000001E-4"/>
    <n v="0.22800000000000001"/>
    <n v="1.6E-2"/>
    <n v="5.0000000000000001E-4"/>
    <n v="8.5999999999999993E-2"/>
    <n v="12"/>
  </r>
  <r>
    <x v="0"/>
    <x v="1"/>
    <n v="3"/>
    <n v="4"/>
    <n v="3"/>
    <n v="2"/>
    <n v="5"/>
    <n v="5"/>
    <n v="13"/>
    <n v="5"/>
    <n v="7.4"/>
    <n v="25.8"/>
    <n v="8.1999999999999993"/>
    <n v="6.5"/>
    <n v="55"/>
    <n v="2.5"/>
    <n v="350"/>
    <n v="5.0000000000000001E-4"/>
    <n v="5.0000000000000001E-4"/>
    <n v="0.53700000000000003"/>
    <n v="6.0000000000000001E-3"/>
    <n v="5.0000000000000001E-4"/>
    <n v="2.1000000000000001E-2"/>
    <n v="12"/>
  </r>
  <r>
    <x v="1"/>
    <x v="1"/>
    <n v="5"/>
    <n v="3"/>
    <n v="1"/>
    <n v="1"/>
    <n v="3"/>
    <n v="3"/>
    <n v="13"/>
    <n v="3"/>
    <n v="7.2"/>
    <n v="26"/>
    <n v="7.9"/>
    <n v="8.1999999999999993"/>
    <n v="52"/>
    <n v="3.1"/>
    <n v="390"/>
    <n v="5.0000000000000001E-4"/>
    <n v="5.0000000000000001E-4"/>
    <n v="6.5000000000000002E-2"/>
    <n v="5.0000000000000001E-4"/>
    <n v="5.0000000000000001E-4"/>
    <n v="3.6999999999999998E-2"/>
    <n v="10"/>
  </r>
  <r>
    <x v="2"/>
    <x v="1"/>
    <n v="1"/>
    <n v="2"/>
    <n v="2"/>
    <n v="2"/>
    <n v="4"/>
    <n v="4"/>
    <n v="13"/>
    <n v="1"/>
    <n v="7"/>
    <n v="26.3"/>
    <n v="7.5"/>
    <n v="10.4"/>
    <n v="49"/>
    <n v="3.8"/>
    <n v="430"/>
    <n v="5.0000000000000001E-4"/>
    <n v="5.0000000000000001E-4"/>
    <n v="0.106"/>
    <n v="2E-3"/>
    <n v="5.0000000000000001E-4"/>
    <n v="5.8999999999999997E-2"/>
    <n v="7"/>
  </r>
  <r>
    <x v="3"/>
    <x v="1"/>
    <n v="5"/>
    <n v="1"/>
    <n v="2"/>
    <n v="1"/>
    <n v="6"/>
    <n v="4"/>
    <n v="6"/>
    <n v="7"/>
    <n v="6.9"/>
    <n v="26.5"/>
    <n v="7.1"/>
    <n v="12.8"/>
    <n v="46"/>
    <n v="4.4000000000000004"/>
    <n v="470"/>
    <n v="5.0000000000000001E-4"/>
    <n v="5.0000000000000001E-4"/>
    <n v="4.5999999999999999E-2"/>
    <n v="1.0999999999999999E-2"/>
    <n v="5.0000000000000001E-4"/>
    <n v="1.9E-2"/>
    <n v="9"/>
  </r>
  <r>
    <x v="4"/>
    <x v="1"/>
    <n v="3"/>
    <n v="3"/>
    <n v="1"/>
    <n v="2"/>
    <n v="4"/>
    <n v="3"/>
    <n v="7"/>
    <n v="3"/>
    <n v="6.8"/>
    <n v="26.8"/>
    <n v="6.8"/>
    <n v="15.3"/>
    <n v="43"/>
    <n v="5.2"/>
    <n v="510"/>
    <n v="5.0000000000000001E-4"/>
    <n v="5.0000000000000001E-4"/>
    <n v="3.1E-2"/>
    <n v="4.0000000000000001E-3"/>
    <n v="5.0000000000000001E-4"/>
    <n v="2.1999999999999999E-2"/>
    <n v="10"/>
  </r>
  <r>
    <x v="5"/>
    <x v="1"/>
    <n v="4"/>
    <n v="3"/>
    <n v="5"/>
    <n v="0"/>
    <n v="4"/>
    <n v="4"/>
    <n v="10"/>
    <n v="5"/>
    <n v="6.7"/>
    <n v="27"/>
    <n v="6.4"/>
    <n v="18.600000000000001"/>
    <n v="40"/>
    <n v="6"/>
    <n v="560"/>
    <n v="5.0000000000000001E-4"/>
    <n v="5.0000000000000001E-4"/>
    <n v="0.151"/>
    <n v="5.0000000000000001E-4"/>
    <n v="5.0000000000000001E-4"/>
    <n v="2.9000000000000001E-2"/>
    <n v="12"/>
  </r>
  <r>
    <x v="6"/>
    <x v="1"/>
    <n v="3"/>
    <n v="1"/>
    <n v="3"/>
    <n v="0"/>
    <n v="5"/>
    <n v="5"/>
    <n v="10"/>
    <n v="5"/>
    <n v="6.5"/>
    <n v="27.3"/>
    <n v="6"/>
    <n v="22.5"/>
    <n v="37"/>
    <n v="6.8"/>
    <n v="610"/>
    <n v="5.0000000000000001E-4"/>
    <n v="5.0000000000000001E-4"/>
    <n v="0.13200000000000001"/>
    <n v="1E-3"/>
    <n v="5.0000000000000001E-4"/>
    <n v="3.2000000000000001E-2"/>
    <n v="7"/>
  </r>
  <r>
    <x v="7"/>
    <x v="1"/>
    <n v="4"/>
    <n v="3"/>
    <n v="1"/>
    <n v="5"/>
    <n v="4"/>
    <n v="3"/>
    <n v="6"/>
    <n v="4"/>
    <n v="6.4"/>
    <n v="27.6"/>
    <n v="5.7"/>
    <n v="26.8"/>
    <n v="35"/>
    <n v="7.5"/>
    <n v="670"/>
    <n v="5.0000000000000001E-4"/>
    <n v="5.0000000000000001E-4"/>
    <n v="5.2999999999999999E-2"/>
    <n v="5.0000000000000001E-4"/>
    <n v="5.0000000000000001E-4"/>
    <n v="4.7E-2"/>
    <n v="13"/>
  </r>
  <r>
    <x v="8"/>
    <x v="1"/>
    <n v="2"/>
    <n v="3"/>
    <n v="2"/>
    <n v="3"/>
    <n v="5"/>
    <n v="4"/>
    <n v="5"/>
    <n v="5"/>
    <n v="6.3"/>
    <n v="27.8"/>
    <n v="5.3"/>
    <n v="30.4"/>
    <n v="33"/>
    <n v="8.1"/>
    <n v="720"/>
    <n v="1.4E-2"/>
    <n v="5.0000000000000001E-4"/>
    <n v="0.13400000000000001"/>
    <n v="7.0000000000000001E-3"/>
    <n v="5.0000000000000001E-4"/>
    <n v="3.9E-2"/>
    <n v="10"/>
  </r>
  <r>
    <x v="9"/>
    <x v="1"/>
    <n v="6"/>
    <n v="2"/>
    <n v="0"/>
    <n v="2"/>
    <n v="1"/>
    <n v="6"/>
    <n v="9"/>
    <n v="5"/>
    <n v="6.2"/>
    <n v="28"/>
    <n v="5"/>
    <n v="34.1"/>
    <n v="30"/>
    <n v="8.9"/>
    <n v="780"/>
    <n v="6.0000000000000001E-3"/>
    <n v="5.0000000000000001E-4"/>
    <n v="0.11899999999999999"/>
    <n v="5.0000000000000001E-3"/>
    <n v="5.0000000000000001E-4"/>
    <n v="4.1000000000000002E-2"/>
    <n v="10"/>
  </r>
  <r>
    <x v="0"/>
    <x v="2"/>
    <n v="1"/>
    <n v="2"/>
    <n v="4"/>
    <n v="1"/>
    <n v="4"/>
    <n v="2"/>
    <n v="6"/>
    <n v="3"/>
    <n v="7.1"/>
    <n v="26.2"/>
    <n v="7.8"/>
    <n v="9.4"/>
    <n v="72"/>
    <n v="3.2"/>
    <n v="410"/>
    <n v="5.0000000000000001E-4"/>
    <n v="5.0000000000000001E-4"/>
    <n v="0.223"/>
    <n v="8.9999999999999993E-3"/>
    <n v="5.0000000000000001E-4"/>
    <n v="5.8000000000000003E-2"/>
    <n v="8"/>
  </r>
  <r>
    <x v="1"/>
    <x v="2"/>
    <n v="6"/>
    <n v="0"/>
    <n v="7"/>
    <n v="2"/>
    <n v="2"/>
    <n v="4"/>
    <n v="9"/>
    <n v="2"/>
    <n v="7"/>
    <n v="26.5"/>
    <n v="7.4"/>
    <n v="12.6"/>
    <n v="69"/>
    <n v="4"/>
    <n v="450"/>
    <n v="3.0000000000000001E-3"/>
    <n v="5.0000000000000001E-4"/>
    <n v="0.17799999999999999"/>
    <n v="1.4E-2"/>
    <n v="5.0000000000000001E-4"/>
    <n v="8.1000000000000003E-2"/>
    <n v="15"/>
  </r>
  <r>
    <x v="2"/>
    <x v="2"/>
    <n v="0"/>
    <n v="2"/>
    <n v="2"/>
    <n v="2"/>
    <n v="3"/>
    <n v="3"/>
    <n v="5"/>
    <n v="5"/>
    <n v="6.9"/>
    <n v="26.8"/>
    <n v="7"/>
    <n v="15.8"/>
    <n v="65"/>
    <n v="4.9000000000000004"/>
    <n v="500"/>
    <n v="5.0000000000000001E-4"/>
    <n v="5.0000000000000001E-4"/>
    <n v="9.1999999999999998E-2"/>
    <n v="6.0000000000000001E-3"/>
    <n v="5.0000000000000001E-4"/>
    <n v="6.3E-2"/>
    <n v="7"/>
  </r>
  <r>
    <x v="3"/>
    <x v="2"/>
    <n v="4"/>
    <n v="4"/>
    <n v="3"/>
    <n v="2"/>
    <n v="6"/>
    <n v="2"/>
    <n v="10"/>
    <n v="4"/>
    <n v="6.8"/>
    <n v="27"/>
    <n v="6.7"/>
    <n v="19.3"/>
    <n v="61"/>
    <n v="5.8"/>
    <n v="550"/>
    <n v="5.0000000000000001E-4"/>
    <n v="5.0000000000000001E-4"/>
    <n v="0.13500000000000001"/>
    <n v="1.0999999999999999E-2"/>
    <n v="5.0000000000000001E-4"/>
    <n v="7.0999999999999994E-2"/>
    <n v="13"/>
  </r>
  <r>
    <x v="4"/>
    <x v="2"/>
    <n v="4"/>
    <n v="2"/>
    <n v="3"/>
    <n v="0"/>
    <n v="6"/>
    <n v="2"/>
    <n v="8"/>
    <n v="6"/>
    <n v="6.6"/>
    <n v="27.4"/>
    <n v="6.3"/>
    <n v="24"/>
    <n v="57"/>
    <n v="6.7"/>
    <n v="610"/>
    <n v="5.0000000000000001E-4"/>
    <n v="5.0000000000000001E-4"/>
    <n v="0.11799999999999999"/>
    <n v="8.0000000000000002E-3"/>
    <n v="5.0000000000000001E-4"/>
    <n v="4.9000000000000002E-2"/>
    <n v="10"/>
  </r>
  <r>
    <x v="5"/>
    <x v="2"/>
    <n v="2"/>
    <n v="5"/>
    <n v="1"/>
    <n v="3"/>
    <n v="2"/>
    <n v="5"/>
    <n v="8"/>
    <n v="2"/>
    <n v="6.5"/>
    <n v="27.7"/>
    <n v="5.9"/>
    <n v="29.5"/>
    <n v="53"/>
    <n v="7.6"/>
    <n v="670"/>
    <n v="5.0000000000000001E-4"/>
    <n v="5.0000000000000001E-4"/>
    <n v="0.16400000000000001"/>
    <n v="1.2E-2"/>
    <n v="5.0000000000000001E-4"/>
    <n v="5.3999999999999999E-2"/>
    <n v="11"/>
  </r>
  <r>
    <x v="6"/>
    <x v="2"/>
    <n v="6"/>
    <n v="6"/>
    <n v="4"/>
    <n v="2"/>
    <n v="5"/>
    <n v="3"/>
    <n v="11"/>
    <n v="2"/>
    <n v="6.4"/>
    <n v="28"/>
    <n v="5.5"/>
    <n v="35.799999999999997"/>
    <n v="49"/>
    <n v="8.5"/>
    <n v="730"/>
    <n v="7.0000000000000001E-3"/>
    <n v="5.0000000000000001E-4"/>
    <n v="0.20699999999999999"/>
    <n v="1.4999999999999999E-2"/>
    <n v="5.0000000000000001E-4"/>
    <n v="9.6000000000000002E-2"/>
    <n v="18"/>
  </r>
  <r>
    <x v="7"/>
    <x v="2"/>
    <n v="5"/>
    <n v="1"/>
    <n v="2"/>
    <n v="2"/>
    <n v="4"/>
    <n v="3"/>
    <n v="11"/>
    <n v="2"/>
    <n v="6.3"/>
    <n v="28.3"/>
    <n v="5.0999999999999996"/>
    <n v="41.2"/>
    <n v="45"/>
    <n v="9.3000000000000007"/>
    <n v="790"/>
    <n v="5.0000000000000001E-4"/>
    <n v="5.0000000000000001E-4"/>
    <n v="0.254"/>
    <n v="0.01"/>
    <n v="5.0000000000000001E-4"/>
    <n v="7.3999999999999996E-2"/>
    <n v="10"/>
  </r>
  <r>
    <x v="8"/>
    <x v="2"/>
    <n v="2"/>
    <n v="4"/>
    <n v="3"/>
    <n v="5"/>
    <n v="3"/>
    <n v="5"/>
    <n v="12"/>
    <n v="1"/>
    <n v="6.2"/>
    <n v="28.5"/>
    <n v="4.8"/>
    <n v="48.6"/>
    <n v="41"/>
    <n v="10.199999999999999"/>
    <n v="850"/>
    <n v="1.0999999999999999E-2"/>
    <n v="5.0000000000000001E-4"/>
    <n v="0.28599999999999998"/>
    <n v="1.7999999999999999E-2"/>
    <n v="5.0000000000000001E-4"/>
    <n v="0.13100000000000001"/>
    <n v="14"/>
  </r>
  <r>
    <x v="9"/>
    <x v="2"/>
    <n v="4"/>
    <n v="5"/>
    <n v="1"/>
    <n v="0"/>
    <n v="5"/>
    <n v="5"/>
    <n v="7"/>
    <n v="1"/>
    <n v="6"/>
    <n v="28.8"/>
    <n v="4.5"/>
    <n v="56.3"/>
    <n v="38"/>
    <n v="11"/>
    <n v="910"/>
    <n v="5.0000000000000001E-3"/>
    <n v="5.0000000000000001E-4"/>
    <n v="0.19600000000000001"/>
    <n v="1.2999999999999999E-2"/>
    <n v="5.0000000000000001E-4"/>
    <n v="6.9000000000000006E-2"/>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J12" firstHeaderRow="0" firstDataRow="1" firstDataCol="1"/>
  <pivotFields count="37">
    <pivotField showAll="0"/>
    <pivotField axis="axisRow" showAll="0">
      <items count="9">
        <item x="0"/>
        <item x="1"/>
        <item x="4"/>
        <item x="5"/>
        <item x="2"/>
        <item x="3"/>
        <item x="7"/>
        <item x="6"/>
        <item t="default"/>
      </items>
    </pivotField>
    <pivotField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9">
    <i>
      <x/>
    </i>
    <i i="1">
      <x v="1"/>
    </i>
    <i i="2">
      <x v="2"/>
    </i>
    <i i="3">
      <x v="3"/>
    </i>
    <i i="4">
      <x v="4"/>
    </i>
    <i i="5">
      <x v="5"/>
    </i>
    <i i="6">
      <x v="6"/>
    </i>
    <i i="7">
      <x v="7"/>
    </i>
    <i i="8">
      <x v="8"/>
    </i>
  </colItems>
  <dataFields count="9">
    <dataField name="Sum of Stn1" fld="3" baseField="0" baseItem="0"/>
    <dataField name="Sum of Stn2" fld="4" baseField="0" baseItem="0"/>
    <dataField name="Sum of Stn3" fld="5" baseField="0" baseItem="0"/>
    <dataField name="Sum of Stn4" fld="6" baseField="0" baseItem="0"/>
    <dataField name="Sum of Stn5" fld="7" baseField="0" baseItem="0"/>
    <dataField name="Sum of Stn6" fld="8" baseField="0" baseItem="0"/>
    <dataField name="Sum of Stn7" fld="9" baseField="0" baseItem="0"/>
    <dataField name="Sum of Stn8" fld="10" baseField="0" baseItem="0"/>
    <dataField name="Sum of Stn9"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24:B33" firstHeaderRow="1" firstDataRow="1" firstDataCol="1"/>
  <pivotFields count="37">
    <pivotField showAll="0"/>
    <pivotField axis="axisRow" showAll="0">
      <items count="9">
        <item x="0"/>
        <item x="1"/>
        <item x="4"/>
        <item x="5"/>
        <item x="2"/>
        <item x="3"/>
        <item x="7"/>
        <item x="6"/>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OVERALL ABUNDANCE" fld="33" baseField="1" baseItem="0"/>
  </dataFields>
  <chartFormats count="19">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0"/>
          </reference>
        </references>
      </pivotArea>
    </chartFormat>
    <chartFormat chart="16" format="12">
      <pivotArea type="data" outline="0" fieldPosition="0">
        <references count="2">
          <reference field="4294967294" count="1" selected="0">
            <x v="0"/>
          </reference>
          <reference field="1" count="1" selected="0">
            <x v="1"/>
          </reference>
        </references>
      </pivotArea>
    </chartFormat>
    <chartFormat chart="16" format="13">
      <pivotArea type="data" outline="0" fieldPosition="0">
        <references count="2">
          <reference field="4294967294" count="1" selected="0">
            <x v="0"/>
          </reference>
          <reference field="1" count="1" selected="0">
            <x v="2"/>
          </reference>
        </references>
      </pivotArea>
    </chartFormat>
    <chartFormat chart="16" format="14">
      <pivotArea type="data" outline="0" fieldPosition="0">
        <references count="2">
          <reference field="4294967294" count="1" selected="0">
            <x v="0"/>
          </reference>
          <reference field="1" count="1" selected="0">
            <x v="3"/>
          </reference>
        </references>
      </pivotArea>
    </chartFormat>
    <chartFormat chart="16" format="15">
      <pivotArea type="data" outline="0" fieldPosition="0">
        <references count="2">
          <reference field="4294967294" count="1" selected="0">
            <x v="0"/>
          </reference>
          <reference field="1" count="1" selected="0">
            <x v="4"/>
          </reference>
        </references>
      </pivotArea>
    </chartFormat>
    <chartFormat chart="16" format="16">
      <pivotArea type="data" outline="0" fieldPosition="0">
        <references count="2">
          <reference field="4294967294" count="1" selected="0">
            <x v="0"/>
          </reference>
          <reference field="1" count="1" selected="0">
            <x v="5"/>
          </reference>
        </references>
      </pivotArea>
    </chartFormat>
    <chartFormat chart="16" format="17">
      <pivotArea type="data" outline="0" fieldPosition="0">
        <references count="2">
          <reference field="4294967294" count="1" selected="0">
            <x v="0"/>
          </reference>
          <reference field="1" count="1" selected="0">
            <x v="6"/>
          </reference>
        </references>
      </pivotArea>
    </chartFormat>
    <chartFormat chart="16" format="18">
      <pivotArea type="data" outline="0" fieldPosition="0">
        <references count="2">
          <reference field="4294967294" count="1" selected="0">
            <x v="0"/>
          </reference>
          <reference field="1" count="1" selected="0">
            <x v="7"/>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4"/>
          </reference>
        </references>
      </pivotArea>
    </chartFormat>
    <chartFormat chart="13" format="6">
      <pivotArea type="data" outline="0" fieldPosition="0">
        <references count="2">
          <reference field="4294967294" count="1" selected="0">
            <x v="0"/>
          </reference>
          <reference field="1" count="1" selected="0">
            <x v="5"/>
          </reference>
        </references>
      </pivotArea>
    </chartFormat>
    <chartFormat chart="13" format="7">
      <pivotArea type="data" outline="0" fieldPosition="0">
        <references count="2">
          <reference field="4294967294" count="1" selected="0">
            <x v="0"/>
          </reference>
          <reference field="1" count="1" selected="0">
            <x v="6"/>
          </reference>
        </references>
      </pivotArea>
    </chartFormat>
    <chartFormat chart="13" format="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4" firstHeaderRow="0"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JULY ABUNANCE" fld="34" baseField="0" baseItem="0"/>
    <dataField name="Sum of SEPTEMBER ABUNDANC" fld="35" baseField="0" baseItem="0"/>
    <dataField name="Sum of NOVEMBER ABUNDANCE" fld="3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55:B72" firstHeaderRow="1" firstDataRow="1" firstDataCol="1" rowPageCount="1" colPageCount="1"/>
  <pivotFields count="37">
    <pivotField axis="axisRow" showAll="0" measureFilter="1">
      <items count="105">
        <item x="16"/>
        <item x="17"/>
        <item x="86"/>
        <item x="76"/>
        <item x="0"/>
        <item x="62"/>
        <item x="57"/>
        <item x="73"/>
        <item x="72"/>
        <item x="84"/>
        <item x="59"/>
        <item x="60"/>
        <item x="19"/>
        <item x="18"/>
        <item x="83"/>
        <item x="92"/>
        <item x="67"/>
        <item x="68"/>
        <item x="1"/>
        <item x="64"/>
        <item x="69"/>
        <item x="2"/>
        <item x="61"/>
        <item x="54"/>
        <item x="55"/>
        <item x="58"/>
        <item x="71"/>
        <item x="66"/>
        <item x="79"/>
        <item x="20"/>
        <item x="21"/>
        <item x="95"/>
        <item x="44"/>
        <item x="46"/>
        <item x="102"/>
        <item x="45"/>
        <item x="3"/>
        <item x="4"/>
        <item x="77"/>
        <item x="87"/>
        <item x="5"/>
        <item x="22"/>
        <item x="74"/>
        <item x="85"/>
        <item x="75"/>
        <item x="90"/>
        <item x="81"/>
        <item x="47"/>
        <item x="48"/>
        <item x="32"/>
        <item x="65"/>
        <item x="70"/>
        <item x="33"/>
        <item x="34"/>
        <item x="23"/>
        <item x="63"/>
        <item x="56"/>
        <item x="6"/>
        <item x="7"/>
        <item x="8"/>
        <item x="9"/>
        <item x="10"/>
        <item x="11"/>
        <item x="12"/>
        <item x="35"/>
        <item x="24"/>
        <item x="36"/>
        <item x="37"/>
        <item x="38"/>
        <item x="39"/>
        <item x="40"/>
        <item x="25"/>
        <item x="26"/>
        <item x="103"/>
        <item x="96"/>
        <item x="27"/>
        <item x="49"/>
        <item x="50"/>
        <item x="41"/>
        <item x="14"/>
        <item x="13"/>
        <item x="28"/>
        <item x="89"/>
        <item x="80"/>
        <item x="100"/>
        <item x="101"/>
        <item x="91"/>
        <item x="82"/>
        <item x="93"/>
        <item x="94"/>
        <item x="29"/>
        <item x="30"/>
        <item x="42"/>
        <item x="99"/>
        <item x="43"/>
        <item x="98"/>
        <item x="51"/>
        <item x="15"/>
        <item x="52"/>
        <item x="53"/>
        <item x="88"/>
        <item x="78"/>
        <item x="31"/>
        <item x="97"/>
        <item t="default"/>
      </items>
    </pivotField>
    <pivotField showAll="0">
      <items count="9">
        <item x="0"/>
        <item x="1"/>
        <item x="4"/>
        <item x="5"/>
        <item x="2"/>
        <item x="3"/>
        <item x="7"/>
        <item x="6"/>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7">
    <i>
      <x v="2"/>
    </i>
    <i>
      <x v="3"/>
    </i>
    <i>
      <x v="14"/>
    </i>
    <i>
      <x v="16"/>
    </i>
    <i>
      <x v="19"/>
    </i>
    <i>
      <x v="22"/>
    </i>
    <i>
      <x v="24"/>
    </i>
    <i>
      <x v="26"/>
    </i>
    <i>
      <x v="27"/>
    </i>
    <i>
      <x v="31"/>
    </i>
    <i>
      <x v="39"/>
    </i>
    <i>
      <x v="43"/>
    </i>
    <i>
      <x v="50"/>
    </i>
    <i>
      <x v="56"/>
    </i>
    <i>
      <x v="85"/>
    </i>
    <i>
      <x v="87"/>
    </i>
    <i t="grand">
      <x/>
    </i>
  </rowItems>
  <colItems count="1">
    <i/>
  </colItems>
  <pageFields count="1">
    <pageField fld="2" item="1" hier="-1"/>
  </pageFields>
  <dataFields count="1">
    <dataField name="Sum of OVERALL ABUNDANCE" fld="33" baseField="1" baseItem="0"/>
  </dataFields>
  <chartFormats count="2">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39:B50" firstHeaderRow="1" firstDataRow="1" firstDataCol="1" rowPageCount="1" colPageCount="1"/>
  <pivotFields count="37">
    <pivotField axis="axisRow" showAll="0" measureFilter="1">
      <items count="105">
        <item x="16"/>
        <item x="17"/>
        <item x="86"/>
        <item x="76"/>
        <item x="0"/>
        <item x="62"/>
        <item x="57"/>
        <item x="73"/>
        <item x="72"/>
        <item x="84"/>
        <item x="59"/>
        <item x="60"/>
        <item x="19"/>
        <item x="18"/>
        <item x="83"/>
        <item x="92"/>
        <item x="67"/>
        <item x="68"/>
        <item x="1"/>
        <item x="64"/>
        <item x="69"/>
        <item x="2"/>
        <item x="61"/>
        <item x="54"/>
        <item x="55"/>
        <item x="58"/>
        <item x="71"/>
        <item x="66"/>
        <item x="79"/>
        <item x="20"/>
        <item x="21"/>
        <item x="95"/>
        <item x="44"/>
        <item x="46"/>
        <item x="102"/>
        <item x="45"/>
        <item x="3"/>
        <item x="4"/>
        <item x="77"/>
        <item x="87"/>
        <item x="5"/>
        <item x="22"/>
        <item x="74"/>
        <item x="85"/>
        <item x="75"/>
        <item x="90"/>
        <item x="81"/>
        <item x="47"/>
        <item x="48"/>
        <item x="32"/>
        <item x="65"/>
        <item x="70"/>
        <item x="33"/>
        <item x="34"/>
        <item x="23"/>
        <item x="63"/>
        <item x="56"/>
        <item x="6"/>
        <item x="7"/>
        <item x="8"/>
        <item x="9"/>
        <item x="10"/>
        <item x="11"/>
        <item x="12"/>
        <item x="35"/>
        <item x="24"/>
        <item x="36"/>
        <item x="37"/>
        <item x="38"/>
        <item x="39"/>
        <item x="40"/>
        <item x="25"/>
        <item x="26"/>
        <item x="103"/>
        <item x="96"/>
        <item x="27"/>
        <item x="49"/>
        <item x="50"/>
        <item x="41"/>
        <item x="14"/>
        <item x="13"/>
        <item x="28"/>
        <item x="89"/>
        <item x="80"/>
        <item x="100"/>
        <item x="101"/>
        <item x="91"/>
        <item x="82"/>
        <item x="93"/>
        <item x="94"/>
        <item x="29"/>
        <item x="30"/>
        <item x="42"/>
        <item x="99"/>
        <item x="43"/>
        <item x="98"/>
        <item x="51"/>
        <item x="15"/>
        <item x="52"/>
        <item x="53"/>
        <item x="88"/>
        <item x="78"/>
        <item x="31"/>
        <item x="97"/>
        <item t="default"/>
      </items>
    </pivotField>
    <pivotField showAll="0">
      <items count="9">
        <item x="0"/>
        <item x="1"/>
        <item x="4"/>
        <item x="5"/>
        <item x="2"/>
        <item x="3"/>
        <item x="7"/>
        <item x="6"/>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i>
    <i>
      <x v="1"/>
    </i>
    <i>
      <x v="4"/>
    </i>
    <i>
      <x v="33"/>
    </i>
    <i>
      <x v="40"/>
    </i>
    <i>
      <x v="58"/>
    </i>
    <i>
      <x v="61"/>
    </i>
    <i>
      <x v="66"/>
    </i>
    <i>
      <x v="68"/>
    </i>
    <i>
      <x v="99"/>
    </i>
    <i t="grand">
      <x/>
    </i>
  </rowItems>
  <colItems count="1">
    <i/>
  </colItems>
  <pageFields count="1">
    <pageField fld="2" item="0" hier="-1"/>
  </pageFields>
  <dataFields count="1">
    <dataField name="Sum of OVERALL ABUNDANCE" fld="33" baseField="1" baseItem="0"/>
  </dataFields>
  <chartFormats count="2">
    <chartFormat chart="11"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53:D65"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RICHNESS" fld="23" baseField="0" baseItem="0"/>
  </dataFields>
  <chartFormats count="6">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18:D130"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RICHNES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65:D177"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Average of Dissolved Oxygen (DO)"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85:I96" firstHeaderRow="0" firstDataRow="1" firstDataCol="1" rowPageCount="1" colPageCount="1"/>
  <pivotFields count="24">
    <pivotField axis="axisRow" showAll="0">
      <items count="11">
        <item x="0"/>
        <item x="1"/>
        <item x="2"/>
        <item x="3"/>
        <item x="4"/>
        <item x="5"/>
        <item x="6"/>
        <item x="7"/>
        <item x="8"/>
        <item x="9"/>
        <item t="default"/>
      </items>
    </pivotField>
    <pivotField axis="axisPage" multipleItemSelectionAllowed="1" showAll="0">
      <items count="4">
        <item x="0"/>
        <item x="1"/>
        <item h="1"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8">
    <i>
      <x/>
    </i>
    <i i="1">
      <x v="1"/>
    </i>
    <i i="2">
      <x v="2"/>
    </i>
    <i i="3">
      <x v="3"/>
    </i>
    <i i="4">
      <x v="4"/>
    </i>
    <i i="5">
      <x v="5"/>
    </i>
    <i i="6">
      <x v="6"/>
    </i>
    <i i="7">
      <x v="7"/>
    </i>
  </colItems>
  <pageFields count="1">
    <pageField fld="1" hier="-1"/>
  </pageFields>
  <dataFields count="8">
    <dataField name="Sum of bacillariophyta" fld="2" baseField="0" baseItem="0"/>
    <dataField name="Sum of chlorophyta" fld="3" baseField="0" baseItem="0"/>
    <dataField name="Sum of cyanophyta" fld="4" baseField="0" baseItem="0"/>
    <dataField name="Sum of euglenophyta" fld="5" baseField="0" baseItem="0"/>
    <dataField name="Sum of Cladocera" fld="6" baseField="0" baseItem="0"/>
    <dataField name="Sum of Copepoda" fld="7" baseField="0" baseItem="0"/>
    <dataField name="Sum of Rotifera" fld="8" baseField="0" baseItem="0"/>
    <dataField name="Sum of Protozoa"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5"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pH" fld="1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B134:E146"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Average of pH"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68:D80"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Mn (mg/L)" fld="19" baseField="0" baseItem="0"/>
  </dataFields>
  <chartFormats count="6">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4" format="6" series="1">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2">
          <reference field="4294967294" count="1" selected="0">
            <x v="0"/>
          </reference>
          <reference field="1" count="1" selected="0">
            <x v="1"/>
          </reference>
        </references>
      </pivotArea>
    </chartFormat>
    <chartFormat chart="1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20:D32"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Dissolved Oxygen (DO)" fld="12" baseField="0" baseItem="0"/>
  </dataFields>
  <chartFormats count="7">
    <chartFormat chart="13" format="6" series="1">
      <pivotArea type="data" outline="0" fieldPosition="0">
        <references count="1">
          <reference field="1" count="1" selected="0">
            <x v="0"/>
          </reference>
        </references>
      </pivotArea>
    </chartFormat>
    <chartFormat chart="13" format="7" series="1">
      <pivotArea type="data" outline="0" fieldPosition="0">
        <references count="1">
          <reference field="1" count="1" selected="0">
            <x v="1"/>
          </reference>
        </references>
      </pivotArea>
    </chartFormat>
    <chartFormat chart="13" format="8" series="1">
      <pivotArea type="data" outline="0" fieldPosition="0">
        <references count="1">
          <reference field="1" count="1" selected="0">
            <x v="2"/>
          </reference>
        </references>
      </pivotArea>
    </chartFormat>
    <chartFormat chart="13" format="9"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13" format="10"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C150:F162"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Max of RICHNESS" fld="2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6:D48"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Biochemical Oxygen Demand (BOD)" fld="13" baseField="0" baseItem="0"/>
  </dataFields>
  <chartFormats count="6">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25:J29" firstHeaderRow="0" firstDataRow="1" firstDataCol="1"/>
  <pivotFields count="23">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1"/>
  </rowFields>
  <rowItems count="4">
    <i>
      <x/>
    </i>
    <i>
      <x v="1"/>
    </i>
    <i>
      <x v="2"/>
    </i>
    <i t="grand">
      <x/>
    </i>
  </rowItems>
  <colFields count="1">
    <field x="-2"/>
  </colFields>
  <colItems count="6">
    <i>
      <x/>
    </i>
    <i i="1">
      <x v="1"/>
    </i>
    <i i="2">
      <x v="2"/>
    </i>
    <i i="3">
      <x v="3"/>
    </i>
    <i i="4">
      <x v="4"/>
    </i>
    <i i="5">
      <x v="5"/>
    </i>
  </colItems>
  <dataFields count="6">
    <dataField name="Sum of Cu (mg/L)" fld="17" baseField="0" baseItem="0"/>
    <dataField name="Sum of Cr (mg/L)" fld="18" baseField="0" baseItem="0"/>
    <dataField name="Sum of Mn (mg/L)" fld="19" baseField="0" baseItem="0"/>
    <dataField name="Sum of Ni (mg/L)" fld="20" baseField="0" baseItem="0"/>
    <dataField name="Sum of Pb (mg/L)" fld="21" baseField="0" baseItem="0"/>
    <dataField name="Sum of Zn (mg/L)" fld="22"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54:G58" firstHeaderRow="0" firstDataRow="1" firstDataCol="1"/>
  <pivotFields count="23">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s>
  <rowFields count="1">
    <field x="1"/>
  </rowFields>
  <rowItems count="4">
    <i>
      <x/>
    </i>
    <i>
      <x v="1"/>
    </i>
    <i>
      <x v="2"/>
    </i>
    <i t="grand">
      <x/>
    </i>
  </rowItems>
  <colFields count="1">
    <field x="-2"/>
  </colFields>
  <colItems count="3">
    <i>
      <x/>
    </i>
    <i i="1">
      <x v="1"/>
    </i>
    <i i="2">
      <x v="2"/>
    </i>
  </colItems>
  <dataFields count="3">
    <dataField name="Sum of Cu (mg/L)" fld="17" baseField="0" baseItem="0"/>
    <dataField name="Sum of Pb (mg/L)" fld="21" baseField="0" baseItem="0"/>
    <dataField name="Sum of Zn (mg/L)" fld="22" baseField="0" baseItem="0"/>
  </dataFields>
  <chartFormats count="3">
    <chartFormat chart="3"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H7" firstHeaderRow="0" firstDataRow="1" firstDataCol="1"/>
  <pivotFields count="23">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7">
    <i>
      <x/>
    </i>
    <i i="1">
      <x v="1"/>
    </i>
    <i i="2">
      <x v="2"/>
    </i>
    <i i="3">
      <x v="3"/>
    </i>
    <i i="4">
      <x v="4"/>
    </i>
    <i i="5">
      <x v="5"/>
    </i>
    <i i="6">
      <x v="6"/>
    </i>
  </colItems>
  <dataFields count="7">
    <dataField name="Sum of pH" fld="10" baseField="0" baseItem="0"/>
    <dataField name="Sum of Temperature" fld="11" baseField="0" baseItem="0"/>
    <dataField name="Sum of Dissolved Oxygen (DO)" fld="12" baseField="0" baseItem="0"/>
    <dataField name="Sum of Biochemical Oxygen Demand (BOD)" fld="13" baseField="0" baseItem="0"/>
    <dataField name="Sum of Turbidity" fld="14" baseField="0" baseItem="0"/>
    <dataField name="Sum of Total Suspended Solids (TSS)" fld="15" baseField="0" baseItem="0"/>
    <dataField name="Sum of Electrical Conductivity (EC)" fld="16"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0:C42" firstHeaderRow="1" firstDataRow="2" firstDataCol="1"/>
  <pivotFields count="57">
    <pivotField axis="axisRow" showAll="0">
      <items count="11">
        <item x="0"/>
        <item x="1"/>
        <item x="2"/>
        <item x="3"/>
        <item x="4"/>
        <item x="5"/>
        <item x="6"/>
        <item x="7"/>
        <item x="8"/>
        <item x="9"/>
        <item t="default"/>
      </items>
    </pivotField>
    <pivotField axis="axisCol"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2">
    <i>
      <x/>
    </i>
    <i t="grand">
      <x/>
    </i>
  </colItems>
  <dataFields count="1">
    <dataField name="Sum of total" fld="56" baseField="0" baseItem="0"/>
  </dataFields>
  <chartFormats count="4">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4" firstHeaderRow="1" firstDataRow="1" firstDataCol="1"/>
  <pivotFields count="57">
    <pivotField axis="axisRow" showAll="0">
      <items count="11">
        <item x="0"/>
        <item x="1"/>
        <item x="2"/>
        <item x="3"/>
        <item x="4"/>
        <item x="5"/>
        <item x="6"/>
        <item x="7"/>
        <item x="8"/>
        <item x="9"/>
        <item t="default"/>
      </items>
    </pivotField>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total" fld="56"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8:B22" firstHeaderRow="1" firstDataRow="1" firstDataCol="1"/>
  <pivotFields count="57">
    <pivotField showAll="0">
      <items count="11">
        <item x="0"/>
        <item x="1"/>
        <item x="2"/>
        <item x="3"/>
        <item x="4"/>
        <item x="5"/>
        <item x="6"/>
        <item x="7"/>
        <item x="8"/>
        <item x="9"/>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Sum of total" fld="56" baseField="0" baseItem="0"/>
  </dataFields>
  <chartFormats count="5">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6:E53" firstHeaderRow="1" firstDataRow="1" firstDataCol="0"/>
  <pivotFields count="5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3" name="PivotTable7"/>
    <pivotTable tabId="13" name="PivotTable1"/>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33" name="PivotTable1"/>
    <pivotTable tabId="33" name="PivotTable2"/>
    <pivotTable tabId="33" name="PivotTable3"/>
    <pivotTable tabId="33" name="PivotTable4"/>
    <pivotTable tabId="33" name="PivotTable5"/>
    <pivotTable tabId="33" name="PivotTable7"/>
    <pivotTable tabId="33" name="PivotTable8"/>
    <pivotTable tabId="33" name="PivotTable9"/>
    <pivotTable tabId="33" name="PivotTable10"/>
    <pivotTable tabId="33" name="PivotTable11"/>
  </pivotTables>
  <data>
    <tabular pivotCacheId="2">
      <items count="3">
        <i x="0"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LANKTON_TYPE" sourceName="PLANKTON TYPE">
  <pivotTables>
    <pivotTable tabId="26" name="PivotTable6"/>
  </pivotTables>
  <data>
    <tabular pivotCacheId="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1" caption="MONTH" style="SlicerStyleLight5" rowHeight="241300"/>
  <slicer name="PLANKTON TYPE 1" cache="Slicer_PLANKTON_TYPE" caption="PLANKTON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LANKTON TYPE" cache="Slicer_PLANKTON_TYPE" caption="PLANKTON TYPE"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s>
</file>

<file path=xl/tables/table1.xml><?xml version="1.0" encoding="utf-8"?>
<table xmlns="http://schemas.openxmlformats.org/spreadsheetml/2006/main" id="1" name="planktondata" displayName="planktondata" ref="A34:B46" totalsRowShown="0">
  <autoFilter ref="A34:B46"/>
  <tableColumns count="2">
    <tableColumn id="1" name="KPI"/>
    <tableColumn id="2" name="VALU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X31" totalsRowShown="0" headerRowDxfId="2">
  <autoFilter ref="A1:X31"/>
  <tableColumns count="24">
    <tableColumn id="1" name="STATION"/>
    <tableColumn id="2" name="MONTH"/>
    <tableColumn id="3" name="bacillariophyta"/>
    <tableColumn id="4" name="chlorophyta"/>
    <tableColumn id="5" name="cyanophyta"/>
    <tableColumn id="6" name="euglenophyta"/>
    <tableColumn id="7" name="Cladocera"/>
    <tableColumn id="8" name="Copepoda"/>
    <tableColumn id="9" name="Rotifera"/>
    <tableColumn id="10" name="Protozoa"/>
    <tableColumn id="11" name="pH"/>
    <tableColumn id="12" name="Temperature"/>
    <tableColumn id="13" name="Dissolved Oxygen (DO)"/>
    <tableColumn id="14" name="Biochemical Oxygen Demand (BOD)"/>
    <tableColumn id="15" name="Turbidity"/>
    <tableColumn id="16" name="Total Suspended Solids (TSS)"/>
    <tableColumn id="17" name="Electrical Conductivity (EC)"/>
    <tableColumn id="18" name="Cu (mg/L)"/>
    <tableColumn id="19" name="Cr (mg/L)"/>
    <tableColumn id="20" name="Mn (mg/L)"/>
    <tableColumn id="21" name="Ni (mg/L)"/>
    <tableColumn id="22" name="Pb (mg/L)"/>
    <tableColumn id="23" name="Zn (mg/L)"/>
    <tableColumn id="24" name="RICHNESS"/>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X31" totalsRowShown="0" headerRowDxfId="1">
  <autoFilter ref="A1:X31"/>
  <tableColumns count="24">
    <tableColumn id="1" name="STATION"/>
    <tableColumn id="2" name="MONTH"/>
    <tableColumn id="3" name="bacillariophyta"/>
    <tableColumn id="4" name="chlorophyta"/>
    <tableColumn id="5" name="cyabophyta"/>
    <tableColumn id="6" name="euglenophyta"/>
    <tableColumn id="7" name="Cladocera"/>
    <tableColumn id="8" name="Copepoda"/>
    <tableColumn id="9" name="Rotifera"/>
    <tableColumn id="10" name="Protozoa"/>
    <tableColumn id="11" name="pH"/>
    <tableColumn id="12" name="Temperature"/>
    <tableColumn id="13" name="Dissolved Oxygen (DO)"/>
    <tableColumn id="14" name="Biochemical Oxygen Demand (BOD)"/>
    <tableColumn id="15" name="Turbidity"/>
    <tableColumn id="16" name="Total Suspended Solids (TSS)"/>
    <tableColumn id="17" name="Electrical Conductivity (EC)"/>
    <tableColumn id="18" name="Cu (mg/L)"/>
    <tableColumn id="19" name="Cr (mg/L)"/>
    <tableColumn id="20" name="Mn (mg/L)"/>
    <tableColumn id="21" name="Ni (mg/L)"/>
    <tableColumn id="22" name="Pb (mg/L)"/>
    <tableColumn id="23" name="Zn (mg/L)"/>
    <tableColumn id="24" name="RICHNESS"/>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H31" totalsRowShown="0" headerRowDxfId="0">
  <autoFilter ref="A1:H31"/>
  <tableColumns count="8">
    <tableColumn id="1" name="STATION"/>
    <tableColumn id="2" name="MONTH"/>
    <tableColumn id="3" name="Cu (mg/L)"/>
    <tableColumn id="4" name="Cr (mg/L)"/>
    <tableColumn id="5" name="Mn (mg/L)"/>
    <tableColumn id="6" name="Ni (mg/L)"/>
    <tableColumn id="7" name="Pb (mg/L)"/>
    <tableColumn id="8" name="Zn (mg/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drawing" Target="../drawings/drawing3.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2"/>
  <sheetViews>
    <sheetView topLeftCell="A30" zoomScaleNormal="100" workbookViewId="0">
      <selection activeCell="B62" sqref="B62"/>
    </sheetView>
  </sheetViews>
  <sheetFormatPr defaultRowHeight="15.75" customHeight="1"/>
  <cols>
    <col min="1" max="2" width="24" customWidth="1"/>
  </cols>
  <sheetData>
    <row r="1" spans="1:32" ht="15.75" customHeight="1" thickBot="1">
      <c r="A1" s="1" t="s">
        <v>0</v>
      </c>
      <c r="B1" s="14" t="s">
        <v>73</v>
      </c>
      <c r="C1" s="15" t="s">
        <v>62</v>
      </c>
      <c r="D1" s="15" t="s">
        <v>63</v>
      </c>
      <c r="E1" s="15" t="s">
        <v>64</v>
      </c>
      <c r="F1" s="15" t="s">
        <v>65</v>
      </c>
      <c r="G1" s="15" t="s">
        <v>66</v>
      </c>
      <c r="H1" s="15" t="s">
        <v>67</v>
      </c>
      <c r="I1" s="15" t="s">
        <v>68</v>
      </c>
      <c r="J1" s="15" t="s">
        <v>69</v>
      </c>
      <c r="K1" s="15" t="s">
        <v>70</v>
      </c>
      <c r="L1" s="15" t="s">
        <v>71</v>
      </c>
      <c r="M1" s="15" t="s">
        <v>62</v>
      </c>
      <c r="N1" s="15" t="s">
        <v>63</v>
      </c>
      <c r="O1" s="15" t="s">
        <v>64</v>
      </c>
      <c r="P1" s="15" t="s">
        <v>65</v>
      </c>
      <c r="Q1" s="15" t="s">
        <v>66</v>
      </c>
      <c r="R1" s="15" t="s">
        <v>67</v>
      </c>
      <c r="S1" s="15" t="s">
        <v>68</v>
      </c>
      <c r="T1" s="15" t="s">
        <v>69</v>
      </c>
      <c r="U1" s="15" t="s">
        <v>70</v>
      </c>
      <c r="V1" s="15" t="s">
        <v>71</v>
      </c>
      <c r="W1" s="17" t="s">
        <v>62</v>
      </c>
      <c r="X1" s="17" t="s">
        <v>63</v>
      </c>
      <c r="Y1" s="17" t="s">
        <v>64</v>
      </c>
      <c r="Z1" s="17" t="s">
        <v>65</v>
      </c>
      <c r="AA1" s="17" t="s">
        <v>66</v>
      </c>
      <c r="AB1" s="17" t="s">
        <v>67</v>
      </c>
      <c r="AC1" s="17" t="s">
        <v>68</v>
      </c>
      <c r="AD1" s="17" t="s">
        <v>69</v>
      </c>
      <c r="AE1" s="17" t="s">
        <v>70</v>
      </c>
      <c r="AF1" s="17" t="s">
        <v>71</v>
      </c>
    </row>
    <row r="2" spans="1:32" ht="15.75" customHeight="1" thickBot="1">
      <c r="A2" s="4" t="s">
        <v>4</v>
      </c>
      <c r="B2" s="1" t="s">
        <v>3</v>
      </c>
      <c r="C2" s="5">
        <v>1</v>
      </c>
      <c r="D2" s="5">
        <v>1</v>
      </c>
      <c r="E2" s="5">
        <v>0</v>
      </c>
      <c r="F2" s="5">
        <v>0</v>
      </c>
      <c r="G2" s="5">
        <v>1</v>
      </c>
      <c r="H2" s="5">
        <v>0</v>
      </c>
      <c r="I2" s="5">
        <v>1</v>
      </c>
      <c r="J2" s="5">
        <v>1</v>
      </c>
      <c r="K2" s="5">
        <v>1</v>
      </c>
      <c r="L2" s="5">
        <v>0</v>
      </c>
      <c r="M2" s="5">
        <v>1</v>
      </c>
      <c r="N2" s="5">
        <v>1</v>
      </c>
      <c r="O2" s="5">
        <v>1</v>
      </c>
      <c r="P2" s="5">
        <v>0</v>
      </c>
      <c r="Q2" s="5">
        <v>1</v>
      </c>
      <c r="R2" s="5">
        <v>0</v>
      </c>
      <c r="S2" s="5">
        <v>1</v>
      </c>
      <c r="T2" s="5">
        <v>1</v>
      </c>
      <c r="U2" s="5">
        <v>0</v>
      </c>
      <c r="V2" s="5">
        <v>1</v>
      </c>
      <c r="W2" s="17">
        <v>1</v>
      </c>
      <c r="X2" s="17">
        <v>1</v>
      </c>
      <c r="Y2" s="18">
        <v>0</v>
      </c>
      <c r="Z2" s="18">
        <v>0</v>
      </c>
      <c r="AA2" s="17">
        <v>1</v>
      </c>
      <c r="AB2" s="17">
        <v>1</v>
      </c>
      <c r="AC2" s="17">
        <v>1</v>
      </c>
      <c r="AD2" s="17">
        <v>1</v>
      </c>
      <c r="AE2" s="17">
        <v>0</v>
      </c>
      <c r="AF2" s="17">
        <v>1</v>
      </c>
    </row>
    <row r="3" spans="1:32" ht="15.75" customHeight="1" thickBot="1">
      <c r="A3" s="4" t="s">
        <v>6</v>
      </c>
      <c r="B3" s="1" t="s">
        <v>3</v>
      </c>
      <c r="C3" s="5">
        <v>0</v>
      </c>
      <c r="D3" s="5">
        <v>0</v>
      </c>
      <c r="E3" s="5">
        <v>0</v>
      </c>
      <c r="F3" s="5">
        <v>0</v>
      </c>
      <c r="G3" s="5">
        <v>0</v>
      </c>
      <c r="H3" s="5">
        <v>0</v>
      </c>
      <c r="I3" s="5">
        <v>0</v>
      </c>
      <c r="J3" s="5">
        <v>0</v>
      </c>
      <c r="K3" s="5">
        <v>0</v>
      </c>
      <c r="L3" s="5">
        <v>1</v>
      </c>
      <c r="M3" s="5">
        <v>0</v>
      </c>
      <c r="N3" s="5">
        <v>0</v>
      </c>
      <c r="O3" s="5">
        <v>0</v>
      </c>
      <c r="P3" s="5">
        <v>0</v>
      </c>
      <c r="Q3" s="5">
        <v>0</v>
      </c>
      <c r="R3" s="5">
        <v>0</v>
      </c>
      <c r="S3" s="5">
        <v>0</v>
      </c>
      <c r="T3" s="5">
        <v>0</v>
      </c>
      <c r="U3" s="5">
        <v>0</v>
      </c>
      <c r="V3" s="5">
        <v>0</v>
      </c>
      <c r="W3" s="19">
        <v>0</v>
      </c>
      <c r="X3" s="19">
        <v>0</v>
      </c>
      <c r="Y3" s="19">
        <v>0</v>
      </c>
      <c r="Z3" s="19">
        <v>0</v>
      </c>
      <c r="AA3" s="17">
        <v>1</v>
      </c>
      <c r="AB3" s="18">
        <v>0</v>
      </c>
      <c r="AC3" s="18">
        <v>0</v>
      </c>
      <c r="AD3" s="18">
        <v>0</v>
      </c>
      <c r="AE3" s="18">
        <v>0</v>
      </c>
      <c r="AF3" s="18">
        <v>0</v>
      </c>
    </row>
    <row r="4" spans="1:32" ht="15.75" customHeight="1" thickBot="1">
      <c r="A4" s="4" t="s">
        <v>7</v>
      </c>
      <c r="B4" s="1" t="s">
        <v>3</v>
      </c>
      <c r="C4" s="5">
        <v>0</v>
      </c>
      <c r="D4" s="5">
        <v>0</v>
      </c>
      <c r="E4" s="5">
        <v>0</v>
      </c>
      <c r="F4" s="5">
        <v>0</v>
      </c>
      <c r="G4" s="5">
        <v>0</v>
      </c>
      <c r="H4" s="5">
        <v>1</v>
      </c>
      <c r="I4" s="5">
        <v>0</v>
      </c>
      <c r="J4" s="5">
        <v>0</v>
      </c>
      <c r="K4" s="5">
        <v>0</v>
      </c>
      <c r="L4" s="5">
        <v>0</v>
      </c>
      <c r="M4" s="5">
        <v>0</v>
      </c>
      <c r="N4" s="5">
        <v>0</v>
      </c>
      <c r="O4" s="5">
        <v>0</v>
      </c>
      <c r="P4" s="5">
        <v>0</v>
      </c>
      <c r="Q4" s="5">
        <v>1</v>
      </c>
      <c r="R4" s="5">
        <v>1</v>
      </c>
      <c r="S4" s="5">
        <v>0</v>
      </c>
      <c r="T4" s="5">
        <v>0</v>
      </c>
      <c r="U4" s="5">
        <v>1</v>
      </c>
      <c r="V4" s="5">
        <v>1</v>
      </c>
      <c r="W4" s="19">
        <v>0</v>
      </c>
      <c r="X4" s="19">
        <v>0</v>
      </c>
      <c r="Y4" s="19">
        <v>0</v>
      </c>
      <c r="Z4" s="17">
        <v>1</v>
      </c>
      <c r="AA4" s="18">
        <v>0</v>
      </c>
      <c r="AB4" s="18">
        <v>0</v>
      </c>
      <c r="AC4" s="18">
        <v>0</v>
      </c>
      <c r="AD4" s="18">
        <v>0</v>
      </c>
      <c r="AE4" s="18">
        <v>0</v>
      </c>
      <c r="AF4" s="17">
        <v>1</v>
      </c>
    </row>
    <row r="5" spans="1:32" ht="15.75" customHeight="1" thickBot="1">
      <c r="A5" s="4" t="s">
        <v>8</v>
      </c>
      <c r="B5" s="1" t="s">
        <v>3</v>
      </c>
      <c r="C5" s="5">
        <v>0</v>
      </c>
      <c r="D5" s="5">
        <v>0</v>
      </c>
      <c r="E5" s="5">
        <v>0</v>
      </c>
      <c r="F5" s="5">
        <v>0</v>
      </c>
      <c r="G5" s="5">
        <v>0</v>
      </c>
      <c r="H5" s="5">
        <v>0</v>
      </c>
      <c r="I5" s="5">
        <v>0</v>
      </c>
      <c r="J5" s="5">
        <v>0</v>
      </c>
      <c r="K5" s="5">
        <v>1</v>
      </c>
      <c r="L5" s="5">
        <v>0</v>
      </c>
      <c r="M5" s="5">
        <v>0</v>
      </c>
      <c r="N5" s="5">
        <v>0</v>
      </c>
      <c r="O5" s="5">
        <v>0</v>
      </c>
      <c r="P5" s="5">
        <v>0</v>
      </c>
      <c r="Q5" s="5">
        <v>0</v>
      </c>
      <c r="R5" s="5">
        <v>0</v>
      </c>
      <c r="S5" s="5">
        <v>0</v>
      </c>
      <c r="T5" s="5">
        <v>1</v>
      </c>
      <c r="U5" s="5">
        <v>0</v>
      </c>
      <c r="V5" s="5">
        <v>0</v>
      </c>
      <c r="W5" s="19">
        <v>0</v>
      </c>
      <c r="X5" s="19">
        <v>0</v>
      </c>
      <c r="Y5" s="18">
        <v>0</v>
      </c>
      <c r="Z5" s="18">
        <v>0</v>
      </c>
      <c r="AA5" s="18">
        <v>0</v>
      </c>
      <c r="AB5" s="18">
        <v>0</v>
      </c>
      <c r="AC5" s="17">
        <v>1</v>
      </c>
      <c r="AD5" s="18">
        <v>0</v>
      </c>
      <c r="AE5" s="18">
        <v>0</v>
      </c>
      <c r="AF5" s="18">
        <v>0</v>
      </c>
    </row>
    <row r="6" spans="1:32" ht="15.75" customHeight="1" thickBot="1">
      <c r="A6" s="4" t="s">
        <v>9</v>
      </c>
      <c r="B6" s="1" t="s">
        <v>3</v>
      </c>
      <c r="C6" s="5">
        <v>0</v>
      </c>
      <c r="D6" s="5">
        <v>0</v>
      </c>
      <c r="E6" s="5">
        <v>0</v>
      </c>
      <c r="F6" s="5">
        <v>1</v>
      </c>
      <c r="G6" s="5">
        <v>0</v>
      </c>
      <c r="H6" s="5">
        <v>0</v>
      </c>
      <c r="I6" s="5">
        <v>0</v>
      </c>
      <c r="J6" s="5">
        <v>0</v>
      </c>
      <c r="K6" s="5">
        <v>0</v>
      </c>
      <c r="L6" s="5">
        <v>0</v>
      </c>
      <c r="M6" s="5">
        <v>0</v>
      </c>
      <c r="N6" s="5">
        <v>0</v>
      </c>
      <c r="O6" s="5">
        <v>0</v>
      </c>
      <c r="P6" s="5">
        <v>0</v>
      </c>
      <c r="Q6" s="5">
        <v>0</v>
      </c>
      <c r="R6" s="5">
        <v>0</v>
      </c>
      <c r="S6" s="5">
        <v>0</v>
      </c>
      <c r="T6" s="5">
        <v>0</v>
      </c>
      <c r="U6" s="5">
        <v>0</v>
      </c>
      <c r="V6" s="5">
        <v>0</v>
      </c>
      <c r="W6" s="18">
        <v>0</v>
      </c>
      <c r="X6" s="18">
        <v>0</v>
      </c>
      <c r="Y6" s="18">
        <v>0</v>
      </c>
      <c r="Z6" s="18">
        <v>0</v>
      </c>
      <c r="AA6" s="17">
        <v>1</v>
      </c>
      <c r="AB6" s="18">
        <v>0</v>
      </c>
      <c r="AC6" s="18">
        <v>0</v>
      </c>
      <c r="AD6" s="18">
        <v>0</v>
      </c>
      <c r="AE6" s="18">
        <v>0</v>
      </c>
      <c r="AF6" s="18">
        <v>0</v>
      </c>
    </row>
    <row r="7" spans="1:32" ht="15.75" customHeight="1" thickBot="1">
      <c r="A7" s="4" t="s">
        <v>10</v>
      </c>
      <c r="B7" s="1" t="s">
        <v>3</v>
      </c>
      <c r="C7" s="5">
        <v>0</v>
      </c>
      <c r="D7" s="5">
        <v>0</v>
      </c>
      <c r="E7" s="5">
        <v>0</v>
      </c>
      <c r="F7" s="5">
        <v>0</v>
      </c>
      <c r="G7" s="5">
        <v>0</v>
      </c>
      <c r="H7" s="5">
        <v>0</v>
      </c>
      <c r="I7" s="5">
        <v>0</v>
      </c>
      <c r="J7" s="5">
        <v>0</v>
      </c>
      <c r="K7" s="5">
        <v>0</v>
      </c>
      <c r="L7" s="5">
        <v>0</v>
      </c>
      <c r="M7" s="5">
        <v>0</v>
      </c>
      <c r="N7" s="5">
        <v>0</v>
      </c>
      <c r="O7" s="5">
        <v>0</v>
      </c>
      <c r="P7" s="5">
        <v>1</v>
      </c>
      <c r="Q7" s="5">
        <v>0</v>
      </c>
      <c r="R7" s="5">
        <v>1</v>
      </c>
      <c r="S7" s="5">
        <v>0</v>
      </c>
      <c r="T7" s="5">
        <v>1</v>
      </c>
      <c r="U7" s="5">
        <v>0</v>
      </c>
      <c r="V7" s="5">
        <v>1</v>
      </c>
      <c r="W7" s="18">
        <v>0</v>
      </c>
      <c r="X7" s="18">
        <v>0</v>
      </c>
      <c r="Y7" s="18">
        <v>0</v>
      </c>
      <c r="Z7" s="17">
        <v>1</v>
      </c>
      <c r="AA7" s="18">
        <v>0</v>
      </c>
      <c r="AB7" s="17">
        <v>1</v>
      </c>
      <c r="AC7" s="17">
        <v>1</v>
      </c>
      <c r="AD7" s="18">
        <v>0</v>
      </c>
      <c r="AE7" s="18">
        <v>0</v>
      </c>
      <c r="AF7" s="17">
        <v>1</v>
      </c>
    </row>
    <row r="8" spans="1:32" ht="15.75" customHeight="1" thickBot="1">
      <c r="A8" s="4" t="s">
        <v>11</v>
      </c>
      <c r="B8" s="1" t="s">
        <v>3</v>
      </c>
      <c r="C8" s="5">
        <v>0</v>
      </c>
      <c r="D8" s="5">
        <v>0</v>
      </c>
      <c r="E8" s="5">
        <v>0</v>
      </c>
      <c r="F8" s="5">
        <v>0</v>
      </c>
      <c r="G8" s="5">
        <v>0</v>
      </c>
      <c r="H8" s="5">
        <v>0</v>
      </c>
      <c r="I8" s="5">
        <v>0</v>
      </c>
      <c r="J8" s="5">
        <v>0</v>
      </c>
      <c r="K8" s="5">
        <v>0</v>
      </c>
      <c r="L8" s="5">
        <v>1</v>
      </c>
      <c r="M8" s="5">
        <v>0</v>
      </c>
      <c r="N8" s="5">
        <v>0</v>
      </c>
      <c r="O8" s="5">
        <v>0</v>
      </c>
      <c r="P8" s="5">
        <v>0</v>
      </c>
      <c r="Q8" s="5">
        <v>0</v>
      </c>
      <c r="R8" s="5">
        <v>0</v>
      </c>
      <c r="S8" s="5">
        <v>0</v>
      </c>
      <c r="T8" s="5">
        <v>0</v>
      </c>
      <c r="U8" s="5">
        <v>1</v>
      </c>
      <c r="V8" s="5">
        <v>0</v>
      </c>
      <c r="W8" s="18">
        <v>0</v>
      </c>
      <c r="X8" s="17">
        <v>1</v>
      </c>
      <c r="Y8" s="18">
        <v>0</v>
      </c>
      <c r="Z8" s="17">
        <v>1</v>
      </c>
      <c r="AA8" s="18">
        <v>0</v>
      </c>
      <c r="AB8" s="18">
        <v>0</v>
      </c>
      <c r="AC8" s="17">
        <v>1</v>
      </c>
      <c r="AD8" s="18">
        <v>0</v>
      </c>
      <c r="AE8" s="17">
        <v>1</v>
      </c>
      <c r="AF8" s="18">
        <v>0</v>
      </c>
    </row>
    <row r="9" spans="1:32" ht="15.75" customHeight="1" thickBot="1">
      <c r="A9" s="4" t="s">
        <v>12</v>
      </c>
      <c r="B9" s="1" t="s">
        <v>3</v>
      </c>
      <c r="C9" s="5">
        <v>0</v>
      </c>
      <c r="D9" s="5">
        <v>0</v>
      </c>
      <c r="E9" s="5">
        <v>0</v>
      </c>
      <c r="F9" s="5">
        <v>0</v>
      </c>
      <c r="G9" s="5">
        <v>1</v>
      </c>
      <c r="H9" s="5">
        <v>0</v>
      </c>
      <c r="I9" s="5">
        <v>0</v>
      </c>
      <c r="J9" s="5">
        <v>0</v>
      </c>
      <c r="K9" s="5">
        <v>0</v>
      </c>
      <c r="L9" s="5">
        <v>1</v>
      </c>
      <c r="M9" s="5">
        <v>1</v>
      </c>
      <c r="N9" s="5">
        <v>1</v>
      </c>
      <c r="O9" s="5">
        <v>0</v>
      </c>
      <c r="P9" s="5">
        <v>1</v>
      </c>
      <c r="Q9" s="5">
        <v>0</v>
      </c>
      <c r="R9" s="5">
        <v>0</v>
      </c>
      <c r="S9" s="5">
        <v>0</v>
      </c>
      <c r="T9" s="5">
        <v>0</v>
      </c>
      <c r="U9" s="5">
        <v>0</v>
      </c>
      <c r="V9" s="5">
        <v>1</v>
      </c>
      <c r="W9" s="18">
        <v>0</v>
      </c>
      <c r="X9" s="18">
        <v>0</v>
      </c>
      <c r="Y9" s="18">
        <v>0</v>
      </c>
      <c r="Z9" s="18">
        <v>0</v>
      </c>
      <c r="AA9" s="18">
        <v>0</v>
      </c>
      <c r="AB9" s="18">
        <v>0</v>
      </c>
      <c r="AC9" s="17">
        <v>1</v>
      </c>
      <c r="AD9" s="17">
        <v>1</v>
      </c>
      <c r="AE9" s="18">
        <v>0</v>
      </c>
      <c r="AF9" s="18">
        <v>0</v>
      </c>
    </row>
    <row r="10" spans="1:32" ht="15.75" customHeight="1" thickBot="1">
      <c r="A10" s="4" t="s">
        <v>13</v>
      </c>
      <c r="B10" s="1" t="s">
        <v>3</v>
      </c>
      <c r="C10" s="5">
        <v>0</v>
      </c>
      <c r="D10" s="5">
        <v>0</v>
      </c>
      <c r="E10" s="5">
        <v>0</v>
      </c>
      <c r="F10" s="5">
        <v>0</v>
      </c>
      <c r="G10" s="5">
        <v>0</v>
      </c>
      <c r="H10" s="5">
        <v>0</v>
      </c>
      <c r="I10" s="5">
        <v>0</v>
      </c>
      <c r="J10" s="5">
        <v>0</v>
      </c>
      <c r="K10" s="5">
        <v>0</v>
      </c>
      <c r="L10" s="5">
        <v>0</v>
      </c>
      <c r="M10" s="5">
        <v>0</v>
      </c>
      <c r="N10" s="5">
        <v>1</v>
      </c>
      <c r="O10" s="5">
        <v>0</v>
      </c>
      <c r="P10" s="5">
        <v>0</v>
      </c>
      <c r="Q10" s="5">
        <v>0</v>
      </c>
      <c r="R10" s="5">
        <v>1</v>
      </c>
      <c r="S10" s="5">
        <v>0</v>
      </c>
      <c r="T10" s="5">
        <v>0</v>
      </c>
      <c r="U10" s="5">
        <v>0</v>
      </c>
      <c r="V10" s="5">
        <v>0</v>
      </c>
      <c r="W10" s="18">
        <v>0</v>
      </c>
      <c r="X10" s="18">
        <v>0</v>
      </c>
      <c r="Y10" s="18">
        <v>0</v>
      </c>
      <c r="Z10" s="18">
        <v>0</v>
      </c>
      <c r="AA10" s="18">
        <v>0</v>
      </c>
      <c r="AB10" s="18">
        <v>0</v>
      </c>
      <c r="AC10" s="18">
        <v>0</v>
      </c>
      <c r="AD10" s="17">
        <v>1</v>
      </c>
      <c r="AE10" s="18">
        <v>0</v>
      </c>
      <c r="AF10" s="18">
        <v>0</v>
      </c>
    </row>
    <row r="11" spans="1:32" ht="15.75" customHeight="1" thickBot="1">
      <c r="A11" s="4" t="s">
        <v>14</v>
      </c>
      <c r="B11" s="1" t="s">
        <v>3</v>
      </c>
      <c r="C11" s="5">
        <v>0</v>
      </c>
      <c r="D11" s="5">
        <v>0</v>
      </c>
      <c r="E11" s="5">
        <v>0</v>
      </c>
      <c r="F11" s="5">
        <v>0</v>
      </c>
      <c r="G11" s="5">
        <v>0</v>
      </c>
      <c r="H11" s="5">
        <v>0</v>
      </c>
      <c r="I11" s="5">
        <v>0</v>
      </c>
      <c r="J11" s="5">
        <v>0</v>
      </c>
      <c r="K11" s="5">
        <v>1</v>
      </c>
      <c r="L11" s="5">
        <v>1</v>
      </c>
      <c r="M11" s="5">
        <v>1</v>
      </c>
      <c r="N11" s="5">
        <v>0</v>
      </c>
      <c r="O11" s="5">
        <v>0</v>
      </c>
      <c r="P11" s="5">
        <v>1</v>
      </c>
      <c r="Q11" s="5">
        <v>0</v>
      </c>
      <c r="R11" s="5">
        <v>0</v>
      </c>
      <c r="S11" s="5">
        <v>1</v>
      </c>
      <c r="T11" s="5">
        <v>0</v>
      </c>
      <c r="U11" s="5">
        <v>0</v>
      </c>
      <c r="V11" s="5">
        <v>0</v>
      </c>
      <c r="W11" s="18">
        <v>0</v>
      </c>
      <c r="X11" s="17">
        <v>1</v>
      </c>
      <c r="Y11" s="18">
        <v>0</v>
      </c>
      <c r="Z11" s="18">
        <v>0</v>
      </c>
      <c r="AA11" s="18">
        <v>0</v>
      </c>
      <c r="AB11" s="18">
        <v>0</v>
      </c>
      <c r="AC11" s="18">
        <v>0</v>
      </c>
      <c r="AD11" s="18">
        <v>0</v>
      </c>
      <c r="AE11" s="17">
        <v>1</v>
      </c>
      <c r="AF11" s="18">
        <v>0</v>
      </c>
    </row>
    <row r="12" spans="1:32" ht="15.75" customHeight="1" thickBot="1">
      <c r="A12" s="4" t="s">
        <v>15</v>
      </c>
      <c r="B12" s="1" t="s">
        <v>3</v>
      </c>
      <c r="C12" s="5">
        <v>0</v>
      </c>
      <c r="D12" s="5">
        <v>0</v>
      </c>
      <c r="E12" s="5">
        <v>0</v>
      </c>
      <c r="F12" s="5">
        <v>0</v>
      </c>
      <c r="G12" s="5">
        <v>0</v>
      </c>
      <c r="H12" s="5">
        <v>1</v>
      </c>
      <c r="I12" s="5">
        <v>0</v>
      </c>
      <c r="J12" s="5">
        <v>0</v>
      </c>
      <c r="K12" s="5">
        <v>0</v>
      </c>
      <c r="L12" s="5">
        <v>1</v>
      </c>
      <c r="M12" s="5">
        <v>0</v>
      </c>
      <c r="N12" s="5">
        <v>1</v>
      </c>
      <c r="O12" s="5">
        <v>0</v>
      </c>
      <c r="P12" s="5">
        <v>1</v>
      </c>
      <c r="Q12" s="5">
        <v>1</v>
      </c>
      <c r="R12" s="5">
        <v>1</v>
      </c>
      <c r="S12" s="5">
        <v>1</v>
      </c>
      <c r="T12" s="5">
        <v>0</v>
      </c>
      <c r="U12" s="5">
        <v>0</v>
      </c>
      <c r="V12" s="5">
        <v>0</v>
      </c>
      <c r="W12" s="18">
        <v>0</v>
      </c>
      <c r="X12" s="18">
        <v>0</v>
      </c>
      <c r="Y12" s="18">
        <v>0</v>
      </c>
      <c r="Z12" s="18">
        <v>0</v>
      </c>
      <c r="AA12" s="18">
        <v>0</v>
      </c>
      <c r="AB12" s="18">
        <v>0</v>
      </c>
      <c r="AC12" s="18">
        <v>0</v>
      </c>
      <c r="AD12" s="17">
        <v>1</v>
      </c>
      <c r="AE12" s="18">
        <v>0</v>
      </c>
      <c r="AF12" s="18">
        <v>0</v>
      </c>
    </row>
    <row r="13" spans="1:32" ht="15.75" customHeight="1" thickBot="1">
      <c r="A13" s="4" t="s">
        <v>16</v>
      </c>
      <c r="B13" s="1" t="s">
        <v>3</v>
      </c>
      <c r="C13" s="5">
        <v>1</v>
      </c>
      <c r="D13" s="5">
        <v>0</v>
      </c>
      <c r="E13" s="5">
        <v>0</v>
      </c>
      <c r="F13" s="5">
        <v>0</v>
      </c>
      <c r="G13" s="5">
        <v>0</v>
      </c>
      <c r="H13" s="5">
        <v>0</v>
      </c>
      <c r="I13" s="5">
        <v>0</v>
      </c>
      <c r="J13" s="5">
        <v>0</v>
      </c>
      <c r="K13" s="5">
        <v>1</v>
      </c>
      <c r="L13" s="5">
        <v>0</v>
      </c>
      <c r="M13" s="5">
        <v>0</v>
      </c>
      <c r="N13" s="5">
        <v>0</v>
      </c>
      <c r="O13" s="5">
        <v>0</v>
      </c>
      <c r="P13" s="5">
        <v>1</v>
      </c>
      <c r="Q13" s="5">
        <v>0</v>
      </c>
      <c r="R13" s="5">
        <v>0</v>
      </c>
      <c r="S13" s="5">
        <v>0</v>
      </c>
      <c r="T13" s="5">
        <v>0</v>
      </c>
      <c r="U13" s="5">
        <v>0</v>
      </c>
      <c r="V13" s="5">
        <v>0</v>
      </c>
      <c r="W13" s="18">
        <v>0</v>
      </c>
      <c r="X13" s="17">
        <v>1</v>
      </c>
      <c r="Y13" s="18">
        <v>0</v>
      </c>
      <c r="Z13" s="18">
        <v>0</v>
      </c>
      <c r="AA13" s="18">
        <v>0</v>
      </c>
      <c r="AB13" s="18">
        <v>0</v>
      </c>
      <c r="AC13" s="17">
        <v>1</v>
      </c>
      <c r="AD13" s="18">
        <v>0</v>
      </c>
      <c r="AE13" s="18">
        <v>0</v>
      </c>
      <c r="AF13" s="18">
        <v>0</v>
      </c>
    </row>
    <row r="14" spans="1:32" ht="15.75" customHeight="1" thickBot="1">
      <c r="A14" s="4" t="s">
        <v>17</v>
      </c>
      <c r="B14" s="1" t="s">
        <v>3</v>
      </c>
      <c r="C14" s="5">
        <v>0</v>
      </c>
      <c r="D14" s="5">
        <v>0</v>
      </c>
      <c r="E14" s="5">
        <v>0</v>
      </c>
      <c r="F14" s="5">
        <v>0</v>
      </c>
      <c r="G14" s="5">
        <v>0</v>
      </c>
      <c r="H14" s="5">
        <v>0</v>
      </c>
      <c r="I14" s="5">
        <v>0</v>
      </c>
      <c r="J14" s="5">
        <v>0</v>
      </c>
      <c r="K14" s="5">
        <v>0</v>
      </c>
      <c r="L14" s="5">
        <v>1</v>
      </c>
      <c r="M14" s="5">
        <v>0</v>
      </c>
      <c r="N14" s="5">
        <v>0</v>
      </c>
      <c r="O14" s="5">
        <v>0</v>
      </c>
      <c r="P14" s="5">
        <v>0</v>
      </c>
      <c r="Q14" s="5">
        <v>0</v>
      </c>
      <c r="R14" s="5">
        <v>0</v>
      </c>
      <c r="S14" s="5">
        <v>0</v>
      </c>
      <c r="T14" s="5">
        <v>0</v>
      </c>
      <c r="U14" s="5">
        <v>0</v>
      </c>
      <c r="V14" s="5">
        <v>1</v>
      </c>
      <c r="W14" s="18">
        <v>0</v>
      </c>
      <c r="X14" s="18">
        <v>0</v>
      </c>
      <c r="Y14" s="18">
        <v>0</v>
      </c>
      <c r="Z14" s="18">
        <v>0</v>
      </c>
      <c r="AA14" s="18">
        <v>0</v>
      </c>
      <c r="AB14" s="18">
        <v>0</v>
      </c>
      <c r="AC14" s="18">
        <v>0</v>
      </c>
      <c r="AD14" s="17">
        <v>1</v>
      </c>
      <c r="AE14" s="18">
        <v>0</v>
      </c>
      <c r="AF14" s="18">
        <v>0</v>
      </c>
    </row>
    <row r="15" spans="1:32" ht="15.75" customHeight="1" thickBot="1">
      <c r="A15" s="4" t="s">
        <v>18</v>
      </c>
      <c r="B15" s="1" t="s">
        <v>3</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1</v>
      </c>
      <c r="U15" s="5">
        <v>0</v>
      </c>
      <c r="V15" s="5">
        <v>0</v>
      </c>
      <c r="W15" s="18">
        <v>0</v>
      </c>
      <c r="X15" s="17">
        <v>1</v>
      </c>
      <c r="Y15" s="18">
        <v>0</v>
      </c>
      <c r="Z15" s="18">
        <v>0</v>
      </c>
      <c r="AA15" s="18">
        <v>0</v>
      </c>
      <c r="AB15" s="18">
        <v>0</v>
      </c>
      <c r="AC15" s="18">
        <v>0</v>
      </c>
      <c r="AD15" s="18">
        <v>0</v>
      </c>
      <c r="AE15" s="18">
        <v>0</v>
      </c>
      <c r="AF15" s="18">
        <v>0</v>
      </c>
    </row>
    <row r="16" spans="1:32" ht="15.75" customHeight="1" thickBot="1">
      <c r="A16" s="4" t="s">
        <v>19</v>
      </c>
      <c r="B16" s="1" t="s">
        <v>3</v>
      </c>
      <c r="C16" s="5">
        <v>0</v>
      </c>
      <c r="D16" s="5">
        <v>1</v>
      </c>
      <c r="E16" s="5">
        <v>0</v>
      </c>
      <c r="F16" s="5">
        <v>0</v>
      </c>
      <c r="G16" s="5">
        <v>0</v>
      </c>
      <c r="H16" s="5">
        <v>0</v>
      </c>
      <c r="I16" s="5">
        <v>0</v>
      </c>
      <c r="J16" s="5">
        <v>0</v>
      </c>
      <c r="K16" s="5">
        <v>0</v>
      </c>
      <c r="L16" s="5">
        <v>0</v>
      </c>
      <c r="M16" s="5">
        <v>0</v>
      </c>
      <c r="N16" s="5">
        <v>1</v>
      </c>
      <c r="O16" s="5">
        <v>0</v>
      </c>
      <c r="P16" s="5">
        <v>0</v>
      </c>
      <c r="Q16" s="5">
        <v>0</v>
      </c>
      <c r="R16" s="5">
        <v>0</v>
      </c>
      <c r="S16" s="5">
        <v>0</v>
      </c>
      <c r="T16" s="5">
        <v>0</v>
      </c>
      <c r="U16" s="5">
        <v>0</v>
      </c>
      <c r="V16" s="5">
        <v>1</v>
      </c>
      <c r="W16" s="18">
        <v>0</v>
      </c>
      <c r="X16" s="17">
        <v>1</v>
      </c>
      <c r="Y16" s="18">
        <v>0</v>
      </c>
      <c r="Z16" s="18">
        <v>0</v>
      </c>
      <c r="AA16" s="18">
        <v>0</v>
      </c>
      <c r="AB16" s="18">
        <v>0</v>
      </c>
      <c r="AC16" s="18">
        <v>0</v>
      </c>
      <c r="AD16" s="18">
        <v>0</v>
      </c>
      <c r="AE16" s="18">
        <v>0</v>
      </c>
      <c r="AF16" s="18">
        <v>0</v>
      </c>
    </row>
    <row r="17" spans="1:32" ht="15.75" customHeight="1" thickBot="1">
      <c r="A17" s="4" t="s">
        <v>20</v>
      </c>
      <c r="B17" s="1" t="s">
        <v>3</v>
      </c>
      <c r="C17" s="5">
        <v>0</v>
      </c>
      <c r="D17" s="5">
        <v>0</v>
      </c>
      <c r="E17" s="5">
        <v>0</v>
      </c>
      <c r="F17" s="5">
        <v>0</v>
      </c>
      <c r="G17" s="5">
        <v>1</v>
      </c>
      <c r="H17" s="5">
        <v>0</v>
      </c>
      <c r="I17" s="5">
        <v>0</v>
      </c>
      <c r="J17" s="5">
        <v>0</v>
      </c>
      <c r="K17" s="5">
        <v>0</v>
      </c>
      <c r="L17" s="5">
        <v>0</v>
      </c>
      <c r="M17" s="5">
        <v>0</v>
      </c>
      <c r="N17" s="5">
        <v>0</v>
      </c>
      <c r="O17" s="5">
        <v>0</v>
      </c>
      <c r="P17" s="5">
        <v>0</v>
      </c>
      <c r="Q17" s="5">
        <v>0</v>
      </c>
      <c r="R17" s="5">
        <v>0</v>
      </c>
      <c r="S17" s="5">
        <v>0</v>
      </c>
      <c r="T17" s="5">
        <v>0</v>
      </c>
      <c r="U17" s="5">
        <v>0</v>
      </c>
      <c r="V17" s="5">
        <v>0</v>
      </c>
      <c r="W17" s="18">
        <v>0</v>
      </c>
      <c r="X17" s="18">
        <v>0</v>
      </c>
      <c r="Y17" s="18">
        <v>0</v>
      </c>
      <c r="Z17" s="17">
        <v>1</v>
      </c>
      <c r="AA17" s="17">
        <v>1</v>
      </c>
      <c r="AB17" s="18">
        <v>0</v>
      </c>
      <c r="AC17" s="18">
        <v>0</v>
      </c>
      <c r="AD17" s="18">
        <v>0</v>
      </c>
      <c r="AE17" s="18">
        <v>0</v>
      </c>
      <c r="AF17" s="17">
        <v>1</v>
      </c>
    </row>
    <row r="18" spans="1:32" ht="15.75" customHeight="1" thickBot="1">
      <c r="A18" s="4" t="s">
        <v>22</v>
      </c>
      <c r="B18" s="1" t="s">
        <v>21</v>
      </c>
      <c r="C18" s="5">
        <v>0</v>
      </c>
      <c r="D18" s="5">
        <v>1</v>
      </c>
      <c r="E18" s="5">
        <v>0</v>
      </c>
      <c r="F18" s="5">
        <v>0</v>
      </c>
      <c r="G18" s="5">
        <v>0</v>
      </c>
      <c r="H18" s="5">
        <v>0</v>
      </c>
      <c r="I18" s="5">
        <v>0</v>
      </c>
      <c r="J18" s="5">
        <v>0</v>
      </c>
      <c r="K18" s="5">
        <v>0</v>
      </c>
      <c r="L18" s="5">
        <v>0</v>
      </c>
      <c r="M18" s="5">
        <v>0</v>
      </c>
      <c r="N18" s="5">
        <v>1</v>
      </c>
      <c r="O18" s="5">
        <v>1</v>
      </c>
      <c r="P18" s="5">
        <v>0</v>
      </c>
      <c r="Q18" s="5">
        <v>1</v>
      </c>
      <c r="R18" s="5">
        <v>0</v>
      </c>
      <c r="S18" s="5">
        <v>0</v>
      </c>
      <c r="T18" s="5">
        <v>1</v>
      </c>
      <c r="U18" s="5">
        <v>1</v>
      </c>
      <c r="V18" s="5">
        <v>0</v>
      </c>
      <c r="W18" s="18">
        <v>0</v>
      </c>
      <c r="X18" s="18">
        <v>0</v>
      </c>
      <c r="Y18" s="18">
        <v>0</v>
      </c>
      <c r="Z18" s="18">
        <v>0</v>
      </c>
      <c r="AA18" s="17">
        <v>1</v>
      </c>
      <c r="AB18" s="17">
        <v>1</v>
      </c>
      <c r="AC18" s="18">
        <v>0</v>
      </c>
      <c r="AD18" s="18">
        <v>0</v>
      </c>
      <c r="AE18" s="18">
        <v>0</v>
      </c>
      <c r="AF18" s="17">
        <v>1</v>
      </c>
    </row>
    <row r="19" spans="1:32" ht="15.75" customHeight="1" thickBot="1">
      <c r="A19" s="4" t="s">
        <v>23</v>
      </c>
      <c r="B19" s="1" t="s">
        <v>21</v>
      </c>
      <c r="C19" s="5">
        <v>0</v>
      </c>
      <c r="D19" s="5">
        <v>0</v>
      </c>
      <c r="E19" s="5">
        <v>0</v>
      </c>
      <c r="F19" s="5">
        <v>0</v>
      </c>
      <c r="G19" s="5">
        <v>0</v>
      </c>
      <c r="H19" s="5">
        <v>0</v>
      </c>
      <c r="I19" s="5">
        <v>0</v>
      </c>
      <c r="J19" s="5">
        <v>0</v>
      </c>
      <c r="K19" s="5">
        <v>0</v>
      </c>
      <c r="L19" s="5">
        <v>0</v>
      </c>
      <c r="M19" s="5">
        <v>0</v>
      </c>
      <c r="N19" s="5">
        <v>1</v>
      </c>
      <c r="O19" s="5">
        <v>1</v>
      </c>
      <c r="P19" s="5">
        <v>0</v>
      </c>
      <c r="Q19" s="5">
        <v>1</v>
      </c>
      <c r="R19" s="5">
        <v>1</v>
      </c>
      <c r="S19" s="5">
        <v>1</v>
      </c>
      <c r="T19" s="5">
        <v>1</v>
      </c>
      <c r="U19" s="5">
        <v>0</v>
      </c>
      <c r="V19" s="5">
        <v>0</v>
      </c>
      <c r="W19" s="17">
        <v>1</v>
      </c>
      <c r="X19" s="18">
        <v>0</v>
      </c>
      <c r="Y19" s="18">
        <v>0</v>
      </c>
      <c r="Z19" s="18">
        <v>0</v>
      </c>
      <c r="AA19" s="18">
        <v>0</v>
      </c>
      <c r="AB19" s="18">
        <v>0</v>
      </c>
      <c r="AC19" s="18">
        <v>0</v>
      </c>
      <c r="AD19" s="18">
        <v>0</v>
      </c>
      <c r="AE19" s="17">
        <v>1</v>
      </c>
      <c r="AF19" s="18">
        <v>0</v>
      </c>
    </row>
    <row r="20" spans="1:32" ht="15.75" customHeight="1" thickBot="1">
      <c r="A20" s="4" t="s">
        <v>24</v>
      </c>
      <c r="B20" s="1" t="s">
        <v>21</v>
      </c>
      <c r="C20" s="5">
        <v>0</v>
      </c>
      <c r="D20" s="5">
        <v>0</v>
      </c>
      <c r="E20" s="5">
        <v>0</v>
      </c>
      <c r="F20" s="5">
        <v>1</v>
      </c>
      <c r="G20" s="5">
        <v>0</v>
      </c>
      <c r="H20" s="5">
        <v>0</v>
      </c>
      <c r="I20" s="5">
        <v>0</v>
      </c>
      <c r="J20" s="5">
        <v>0</v>
      </c>
      <c r="K20" s="5">
        <v>0</v>
      </c>
      <c r="L20" s="5">
        <v>0</v>
      </c>
      <c r="M20" s="5">
        <v>1</v>
      </c>
      <c r="N20" s="5">
        <v>1</v>
      </c>
      <c r="O20" s="5">
        <v>0</v>
      </c>
      <c r="P20" s="5">
        <v>0</v>
      </c>
      <c r="Q20" s="5">
        <v>0</v>
      </c>
      <c r="R20" s="5">
        <v>0</v>
      </c>
      <c r="S20" s="5">
        <v>0</v>
      </c>
      <c r="T20" s="5">
        <v>0</v>
      </c>
      <c r="U20" s="5">
        <v>1</v>
      </c>
      <c r="V20" s="5">
        <v>0</v>
      </c>
      <c r="W20" s="18">
        <v>0</v>
      </c>
      <c r="X20" s="18">
        <v>0</v>
      </c>
      <c r="Y20" s="18">
        <v>0</v>
      </c>
      <c r="Z20" s="18">
        <v>0</v>
      </c>
      <c r="AA20" s="18">
        <v>0</v>
      </c>
      <c r="AB20" s="18">
        <v>0</v>
      </c>
      <c r="AC20" s="17">
        <v>1</v>
      </c>
      <c r="AD20" s="18">
        <v>0</v>
      </c>
      <c r="AE20" s="18">
        <v>0</v>
      </c>
      <c r="AF20" s="18">
        <v>0</v>
      </c>
    </row>
    <row r="21" spans="1:32" ht="15.75" customHeight="1" thickBot="1">
      <c r="A21" s="4" t="s">
        <v>25</v>
      </c>
      <c r="B21" s="1" t="s">
        <v>21</v>
      </c>
      <c r="C21" s="5">
        <v>0</v>
      </c>
      <c r="D21" s="5">
        <v>0</v>
      </c>
      <c r="E21" s="5">
        <v>0</v>
      </c>
      <c r="F21" s="5">
        <v>0</v>
      </c>
      <c r="G21" s="5">
        <v>1</v>
      </c>
      <c r="H21" s="5">
        <v>0</v>
      </c>
      <c r="I21" s="5">
        <v>0</v>
      </c>
      <c r="J21" s="5">
        <v>0</v>
      </c>
      <c r="K21" s="5">
        <v>0</v>
      </c>
      <c r="L21" s="5">
        <v>0</v>
      </c>
      <c r="M21" s="5">
        <v>0</v>
      </c>
      <c r="N21" s="5">
        <v>0</v>
      </c>
      <c r="O21" s="5">
        <v>0</v>
      </c>
      <c r="P21" s="5">
        <v>0</v>
      </c>
      <c r="Q21" s="5">
        <v>0</v>
      </c>
      <c r="R21" s="5">
        <v>0</v>
      </c>
      <c r="S21" s="5">
        <v>0</v>
      </c>
      <c r="T21" s="5">
        <v>0</v>
      </c>
      <c r="U21" s="5">
        <v>0</v>
      </c>
      <c r="V21" s="5">
        <v>0</v>
      </c>
      <c r="W21" s="17">
        <v>1</v>
      </c>
      <c r="X21" s="18">
        <v>0</v>
      </c>
      <c r="Y21" s="17">
        <v>1</v>
      </c>
      <c r="Z21" s="18">
        <v>0</v>
      </c>
      <c r="AA21" s="18">
        <v>0</v>
      </c>
      <c r="AB21" s="17">
        <v>1</v>
      </c>
      <c r="AC21" s="17">
        <v>1</v>
      </c>
      <c r="AD21" s="18">
        <v>0</v>
      </c>
      <c r="AE21" s="18">
        <v>0</v>
      </c>
      <c r="AF21" s="17">
        <v>1</v>
      </c>
    </row>
    <row r="22" spans="1:32" ht="15.75" customHeight="1" thickBot="1">
      <c r="A22" s="4" t="s">
        <v>26</v>
      </c>
      <c r="B22" s="1" t="s">
        <v>21</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18">
        <v>0</v>
      </c>
      <c r="X22" s="18">
        <v>0</v>
      </c>
      <c r="Y22" s="18">
        <v>0</v>
      </c>
      <c r="Z22" s="18">
        <v>0</v>
      </c>
      <c r="AA22" s="18">
        <v>0</v>
      </c>
      <c r="AB22" s="18">
        <v>0</v>
      </c>
      <c r="AC22" s="18">
        <v>0</v>
      </c>
      <c r="AD22" s="18">
        <v>0</v>
      </c>
      <c r="AE22" s="18">
        <v>0</v>
      </c>
      <c r="AF22" s="17">
        <v>1</v>
      </c>
    </row>
    <row r="23" spans="1:32" ht="15.75" customHeight="1" thickBot="1">
      <c r="A23" s="4" t="s">
        <v>27</v>
      </c>
      <c r="B23" s="1" t="s">
        <v>21</v>
      </c>
      <c r="C23" s="5">
        <v>0</v>
      </c>
      <c r="D23" s="5">
        <v>0</v>
      </c>
      <c r="E23" s="5">
        <v>0</v>
      </c>
      <c r="F23" s="5">
        <v>1</v>
      </c>
      <c r="G23" s="5">
        <v>0</v>
      </c>
      <c r="H23" s="5">
        <v>0</v>
      </c>
      <c r="I23" s="5">
        <v>0</v>
      </c>
      <c r="J23" s="5">
        <v>0</v>
      </c>
      <c r="K23" s="5">
        <v>0</v>
      </c>
      <c r="L23" s="5">
        <v>0</v>
      </c>
      <c r="M23" s="5">
        <v>0</v>
      </c>
      <c r="N23" s="5">
        <v>0</v>
      </c>
      <c r="O23" s="5">
        <v>0</v>
      </c>
      <c r="P23" s="5">
        <v>0</v>
      </c>
      <c r="Q23" s="5">
        <v>0</v>
      </c>
      <c r="R23" s="5">
        <v>0</v>
      </c>
      <c r="S23" s="5">
        <v>0</v>
      </c>
      <c r="T23" s="5">
        <v>0</v>
      </c>
      <c r="U23" s="5">
        <v>0</v>
      </c>
      <c r="V23" s="5">
        <v>0</v>
      </c>
      <c r="W23" s="19">
        <v>0</v>
      </c>
      <c r="X23" s="18">
        <v>0</v>
      </c>
      <c r="Y23" s="18">
        <v>0</v>
      </c>
      <c r="Z23" s="18">
        <v>0</v>
      </c>
      <c r="AA23" s="18">
        <v>0</v>
      </c>
      <c r="AB23" s="18">
        <v>0</v>
      </c>
      <c r="AC23" s="18">
        <v>0</v>
      </c>
      <c r="AD23" s="18">
        <v>0</v>
      </c>
      <c r="AE23" s="18">
        <v>0</v>
      </c>
      <c r="AF23" s="18">
        <v>0</v>
      </c>
    </row>
    <row r="24" spans="1:32" ht="15.75" customHeight="1" thickBot="1">
      <c r="A24" s="4" t="s">
        <v>28</v>
      </c>
      <c r="B24" s="1" t="s">
        <v>21</v>
      </c>
      <c r="C24" s="5">
        <v>0</v>
      </c>
      <c r="D24" s="5">
        <v>0</v>
      </c>
      <c r="E24" s="5">
        <v>0</v>
      </c>
      <c r="F24" s="5">
        <v>0</v>
      </c>
      <c r="G24" s="5">
        <v>0</v>
      </c>
      <c r="H24" s="5">
        <v>0</v>
      </c>
      <c r="I24" s="5">
        <v>0</v>
      </c>
      <c r="J24" s="5">
        <v>0</v>
      </c>
      <c r="K24" s="5">
        <v>0</v>
      </c>
      <c r="L24" s="5">
        <v>0</v>
      </c>
      <c r="M24" s="5">
        <v>1</v>
      </c>
      <c r="N24" s="5">
        <v>0</v>
      </c>
      <c r="O24" s="5">
        <v>0</v>
      </c>
      <c r="P24" s="5">
        <v>0</v>
      </c>
      <c r="Q24" s="5">
        <v>0</v>
      </c>
      <c r="R24" s="5">
        <v>0</v>
      </c>
      <c r="S24" s="5">
        <v>0</v>
      </c>
      <c r="T24" s="5">
        <v>0</v>
      </c>
      <c r="U24" s="5">
        <v>0</v>
      </c>
      <c r="V24" s="5">
        <v>0</v>
      </c>
      <c r="W24" s="18">
        <v>0</v>
      </c>
      <c r="X24" s="18">
        <v>0</v>
      </c>
      <c r="Y24" s="18">
        <v>0</v>
      </c>
      <c r="Z24" s="18">
        <v>0</v>
      </c>
      <c r="AA24" s="18">
        <v>0</v>
      </c>
      <c r="AB24" s="18">
        <v>0</v>
      </c>
      <c r="AC24" s="18">
        <v>0</v>
      </c>
      <c r="AD24" s="18">
        <v>0</v>
      </c>
      <c r="AE24" s="17">
        <v>1</v>
      </c>
      <c r="AF24" s="18">
        <v>0</v>
      </c>
    </row>
    <row r="25" spans="1:32" ht="15.75" customHeight="1" thickBot="1">
      <c r="A25" s="4" t="s">
        <v>29</v>
      </c>
      <c r="B25" s="1" t="s">
        <v>21</v>
      </c>
      <c r="C25" s="5">
        <v>0</v>
      </c>
      <c r="D25" s="5">
        <v>0</v>
      </c>
      <c r="E25" s="5">
        <v>0</v>
      </c>
      <c r="F25" s="5">
        <v>0</v>
      </c>
      <c r="G25" s="5">
        <v>1</v>
      </c>
      <c r="H25" s="5">
        <v>0</v>
      </c>
      <c r="I25" s="5">
        <v>0</v>
      </c>
      <c r="J25" s="5">
        <v>0</v>
      </c>
      <c r="K25" s="5">
        <v>0</v>
      </c>
      <c r="L25" s="5">
        <v>0</v>
      </c>
      <c r="M25" s="5">
        <v>0</v>
      </c>
      <c r="N25" s="5">
        <v>0</v>
      </c>
      <c r="O25" s="5">
        <v>0</v>
      </c>
      <c r="P25" s="5">
        <v>0</v>
      </c>
      <c r="Q25" s="5">
        <v>1</v>
      </c>
      <c r="R25" s="5">
        <v>0</v>
      </c>
      <c r="S25" s="5">
        <v>0</v>
      </c>
      <c r="T25" s="5">
        <v>0</v>
      </c>
      <c r="U25" s="5">
        <v>0</v>
      </c>
      <c r="V25" s="5">
        <v>1</v>
      </c>
      <c r="W25" s="18">
        <v>0</v>
      </c>
      <c r="X25" s="18">
        <v>0</v>
      </c>
      <c r="Y25" s="18">
        <v>0</v>
      </c>
      <c r="Z25" s="17">
        <v>1</v>
      </c>
      <c r="AA25" s="17">
        <v>1</v>
      </c>
      <c r="AB25" s="18">
        <v>0</v>
      </c>
      <c r="AC25" s="17">
        <v>1</v>
      </c>
      <c r="AD25" s="18">
        <v>0</v>
      </c>
      <c r="AE25" s="18">
        <v>0</v>
      </c>
      <c r="AF25" s="18">
        <v>0</v>
      </c>
    </row>
    <row r="26" spans="1:32" ht="15.75" customHeight="1" thickBot="1">
      <c r="A26" s="4" t="s">
        <v>30</v>
      </c>
      <c r="B26" s="1" t="s">
        <v>21</v>
      </c>
      <c r="C26" s="5">
        <v>0</v>
      </c>
      <c r="D26" s="5">
        <v>0</v>
      </c>
      <c r="E26" s="5">
        <v>1</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18">
        <v>0</v>
      </c>
      <c r="X26" s="18">
        <v>0</v>
      </c>
      <c r="Y26" s="18">
        <v>0</v>
      </c>
      <c r="Z26" s="17">
        <v>1</v>
      </c>
      <c r="AA26" s="18">
        <v>0</v>
      </c>
      <c r="AB26" s="17">
        <v>1</v>
      </c>
      <c r="AC26" s="18">
        <v>0</v>
      </c>
      <c r="AD26" s="18">
        <v>0</v>
      </c>
      <c r="AE26" s="18">
        <v>0</v>
      </c>
      <c r="AF26" s="18">
        <v>0</v>
      </c>
    </row>
    <row r="27" spans="1:32" ht="15.75" customHeight="1" thickBot="1">
      <c r="A27" s="4" t="s">
        <v>31</v>
      </c>
      <c r="B27" s="1" t="s">
        <v>21</v>
      </c>
      <c r="C27" s="5">
        <v>0</v>
      </c>
      <c r="D27" s="5">
        <v>0</v>
      </c>
      <c r="E27" s="5">
        <v>0</v>
      </c>
      <c r="F27" s="5">
        <v>0</v>
      </c>
      <c r="G27" s="5">
        <v>0</v>
      </c>
      <c r="H27" s="5">
        <v>0</v>
      </c>
      <c r="I27" s="5">
        <v>0</v>
      </c>
      <c r="J27" s="5">
        <v>0</v>
      </c>
      <c r="K27" s="5">
        <v>0</v>
      </c>
      <c r="L27" s="5">
        <v>0</v>
      </c>
      <c r="M27" s="5">
        <v>1</v>
      </c>
      <c r="N27" s="5">
        <v>0</v>
      </c>
      <c r="O27" s="5">
        <v>0</v>
      </c>
      <c r="P27" s="5">
        <v>0</v>
      </c>
      <c r="Q27" s="5">
        <v>0</v>
      </c>
      <c r="R27" s="5">
        <v>0</v>
      </c>
      <c r="S27" s="5">
        <v>0</v>
      </c>
      <c r="T27" s="5">
        <v>1</v>
      </c>
      <c r="U27" s="5">
        <v>0</v>
      </c>
      <c r="V27" s="5">
        <v>1</v>
      </c>
      <c r="W27" s="18">
        <v>0</v>
      </c>
      <c r="X27" s="18">
        <v>0</v>
      </c>
      <c r="Y27" s="18">
        <v>0</v>
      </c>
      <c r="Z27" s="18">
        <v>0</v>
      </c>
      <c r="AA27" s="18">
        <v>0</v>
      </c>
      <c r="AB27" s="18">
        <v>0</v>
      </c>
      <c r="AC27" s="18">
        <v>0</v>
      </c>
      <c r="AD27" s="18">
        <v>0</v>
      </c>
      <c r="AE27" s="18">
        <v>0</v>
      </c>
      <c r="AF27" s="17">
        <v>1</v>
      </c>
    </row>
    <row r="28" spans="1:32" ht="15.75" customHeight="1" thickBot="1">
      <c r="A28" s="4" t="s">
        <v>32</v>
      </c>
      <c r="B28" s="1" t="s">
        <v>21</v>
      </c>
      <c r="C28" s="5">
        <v>0</v>
      </c>
      <c r="D28" s="5">
        <v>0</v>
      </c>
      <c r="E28" s="5">
        <v>0</v>
      </c>
      <c r="F28" s="5">
        <v>1</v>
      </c>
      <c r="G28" s="5">
        <v>0</v>
      </c>
      <c r="H28" s="5">
        <v>0</v>
      </c>
      <c r="I28" s="5">
        <v>0</v>
      </c>
      <c r="J28" s="5">
        <v>0</v>
      </c>
      <c r="K28" s="5">
        <v>0</v>
      </c>
      <c r="L28" s="5">
        <v>0</v>
      </c>
      <c r="M28" s="5">
        <v>1</v>
      </c>
      <c r="N28" s="5">
        <v>0</v>
      </c>
      <c r="O28" s="5">
        <v>0</v>
      </c>
      <c r="P28" s="5">
        <v>0</v>
      </c>
      <c r="Q28" s="5">
        <v>0</v>
      </c>
      <c r="R28" s="5">
        <v>0</v>
      </c>
      <c r="S28" s="5">
        <v>0</v>
      </c>
      <c r="T28" s="5">
        <v>0</v>
      </c>
      <c r="U28" s="5">
        <v>0</v>
      </c>
      <c r="V28" s="5">
        <v>0</v>
      </c>
      <c r="W28" s="18">
        <v>0</v>
      </c>
      <c r="X28" s="18">
        <v>0</v>
      </c>
      <c r="Y28" s="18">
        <v>0</v>
      </c>
      <c r="Z28" s="17">
        <v>1</v>
      </c>
      <c r="AA28" s="18">
        <v>0</v>
      </c>
      <c r="AB28" s="18">
        <v>0</v>
      </c>
      <c r="AC28" s="18">
        <v>0</v>
      </c>
      <c r="AD28" s="18">
        <v>0</v>
      </c>
      <c r="AE28" s="17">
        <v>1</v>
      </c>
      <c r="AF28" s="18">
        <v>0</v>
      </c>
    </row>
    <row r="29" spans="1:32" ht="15.75" customHeight="1" thickBot="1">
      <c r="A29" s="4" t="s">
        <v>33</v>
      </c>
      <c r="B29" s="1" t="s">
        <v>21</v>
      </c>
      <c r="C29" s="5">
        <v>0</v>
      </c>
      <c r="D29" s="5">
        <v>0</v>
      </c>
      <c r="E29" s="5">
        <v>0</v>
      </c>
      <c r="F29" s="5">
        <v>0</v>
      </c>
      <c r="G29" s="5">
        <v>0</v>
      </c>
      <c r="H29" s="5">
        <v>0</v>
      </c>
      <c r="I29" s="5">
        <v>0</v>
      </c>
      <c r="J29" s="5">
        <v>0</v>
      </c>
      <c r="K29" s="5">
        <v>0</v>
      </c>
      <c r="L29" s="5">
        <v>1</v>
      </c>
      <c r="M29" s="5">
        <v>0</v>
      </c>
      <c r="N29" s="5">
        <v>0</v>
      </c>
      <c r="O29" s="5">
        <v>0</v>
      </c>
      <c r="P29" s="5">
        <v>0</v>
      </c>
      <c r="Q29" s="5">
        <v>0</v>
      </c>
      <c r="R29" s="5">
        <v>0</v>
      </c>
      <c r="S29" s="5">
        <v>0</v>
      </c>
      <c r="T29" s="5">
        <v>0</v>
      </c>
      <c r="U29" s="5">
        <v>0</v>
      </c>
      <c r="V29" s="5">
        <v>0</v>
      </c>
      <c r="W29" s="18">
        <v>0</v>
      </c>
      <c r="X29" s="18">
        <v>0</v>
      </c>
      <c r="Y29" s="18">
        <v>0</v>
      </c>
      <c r="Z29" s="18">
        <v>0</v>
      </c>
      <c r="AA29" s="18">
        <v>0</v>
      </c>
      <c r="AB29" s="17">
        <v>1</v>
      </c>
      <c r="AC29" s="17">
        <v>1</v>
      </c>
      <c r="AD29" s="18">
        <v>0</v>
      </c>
      <c r="AE29" s="18">
        <v>0</v>
      </c>
      <c r="AF29" s="18">
        <v>0</v>
      </c>
    </row>
    <row r="30" spans="1:32" ht="15.75" customHeight="1" thickBot="1">
      <c r="A30" s="4" t="s">
        <v>34</v>
      </c>
      <c r="B30" s="1" t="s">
        <v>21</v>
      </c>
      <c r="C30" s="5">
        <v>0</v>
      </c>
      <c r="D30" s="5">
        <v>0</v>
      </c>
      <c r="E30" s="5">
        <v>0</v>
      </c>
      <c r="F30" s="5">
        <v>0</v>
      </c>
      <c r="G30" s="5">
        <v>1</v>
      </c>
      <c r="H30" s="5">
        <v>0</v>
      </c>
      <c r="I30" s="5">
        <v>0</v>
      </c>
      <c r="J30" s="5">
        <v>0</v>
      </c>
      <c r="K30" s="5">
        <v>0</v>
      </c>
      <c r="L30" s="5">
        <v>0</v>
      </c>
      <c r="M30" s="5">
        <v>0</v>
      </c>
      <c r="N30" s="5">
        <v>0</v>
      </c>
      <c r="O30" s="5">
        <v>0</v>
      </c>
      <c r="P30" s="5">
        <v>1</v>
      </c>
      <c r="Q30" s="5">
        <v>0</v>
      </c>
      <c r="R30" s="5">
        <v>0</v>
      </c>
      <c r="S30" s="5">
        <v>0</v>
      </c>
      <c r="T30" s="5">
        <v>0</v>
      </c>
      <c r="U30" s="5">
        <v>0</v>
      </c>
      <c r="V30" s="5">
        <v>0</v>
      </c>
      <c r="W30" s="18">
        <v>0</v>
      </c>
      <c r="X30" s="18">
        <v>0</v>
      </c>
      <c r="Y30" s="17">
        <v>1</v>
      </c>
      <c r="Z30" s="17">
        <v>1</v>
      </c>
      <c r="AA30" s="18">
        <v>0</v>
      </c>
      <c r="AB30" s="18">
        <v>0</v>
      </c>
      <c r="AC30" s="18">
        <v>0</v>
      </c>
      <c r="AD30" s="17">
        <v>1</v>
      </c>
      <c r="AE30" s="17">
        <v>1</v>
      </c>
      <c r="AF30" s="17">
        <v>1</v>
      </c>
    </row>
    <row r="31" spans="1:32" ht="15.75" customHeight="1" thickBot="1">
      <c r="A31" s="4" t="s">
        <v>35</v>
      </c>
      <c r="B31" s="1" t="s">
        <v>21</v>
      </c>
      <c r="C31" s="5">
        <v>0</v>
      </c>
      <c r="D31" s="5">
        <v>0</v>
      </c>
      <c r="E31" s="5">
        <v>0</v>
      </c>
      <c r="F31" s="5">
        <v>0</v>
      </c>
      <c r="G31" s="5">
        <v>1</v>
      </c>
      <c r="H31" s="5">
        <v>0</v>
      </c>
      <c r="I31" s="5">
        <v>0</v>
      </c>
      <c r="J31" s="5">
        <v>0</v>
      </c>
      <c r="K31" s="5">
        <v>0</v>
      </c>
      <c r="L31" s="5">
        <v>0</v>
      </c>
      <c r="M31" s="5">
        <v>0</v>
      </c>
      <c r="N31" s="5">
        <v>0</v>
      </c>
      <c r="O31" s="5">
        <v>0</v>
      </c>
      <c r="P31" s="5">
        <v>0</v>
      </c>
      <c r="Q31" s="5">
        <v>0</v>
      </c>
      <c r="R31" s="5">
        <v>1</v>
      </c>
      <c r="S31" s="5">
        <v>0</v>
      </c>
      <c r="T31" s="5">
        <v>0</v>
      </c>
      <c r="U31" s="5">
        <v>1</v>
      </c>
      <c r="V31" s="5">
        <v>0</v>
      </c>
      <c r="W31" s="18">
        <v>0</v>
      </c>
      <c r="X31" s="18">
        <v>0</v>
      </c>
      <c r="Y31" s="18">
        <v>0</v>
      </c>
      <c r="Z31" s="18">
        <v>0</v>
      </c>
      <c r="AA31" s="18">
        <v>0</v>
      </c>
      <c r="AB31" s="17">
        <v>1</v>
      </c>
      <c r="AC31" s="17">
        <v>1</v>
      </c>
      <c r="AD31" s="18">
        <v>0</v>
      </c>
      <c r="AE31" s="18">
        <v>0</v>
      </c>
      <c r="AF31" s="18">
        <v>0</v>
      </c>
    </row>
    <row r="32" spans="1:32" ht="15.75" customHeight="1" thickBot="1">
      <c r="A32" s="4" t="s">
        <v>36</v>
      </c>
      <c r="B32" s="1" t="s">
        <v>21</v>
      </c>
      <c r="C32" s="5">
        <v>0</v>
      </c>
      <c r="D32" s="5">
        <v>0</v>
      </c>
      <c r="E32" s="5">
        <v>0</v>
      </c>
      <c r="F32" s="5">
        <v>0</v>
      </c>
      <c r="G32" s="5">
        <v>0</v>
      </c>
      <c r="H32" s="5">
        <v>0</v>
      </c>
      <c r="I32" s="5">
        <v>0</v>
      </c>
      <c r="J32" s="5">
        <v>0</v>
      </c>
      <c r="K32" s="5">
        <v>0</v>
      </c>
      <c r="L32" s="5">
        <v>0</v>
      </c>
      <c r="M32" s="5">
        <v>0</v>
      </c>
      <c r="N32" s="5">
        <v>0</v>
      </c>
      <c r="O32" s="5">
        <v>0</v>
      </c>
      <c r="P32" s="5">
        <v>0</v>
      </c>
      <c r="Q32" s="5">
        <v>0</v>
      </c>
      <c r="R32" s="5">
        <v>1</v>
      </c>
      <c r="S32" s="5">
        <v>0</v>
      </c>
      <c r="T32" s="5">
        <v>0</v>
      </c>
      <c r="U32" s="5">
        <v>0</v>
      </c>
      <c r="V32" s="5">
        <v>0</v>
      </c>
      <c r="W32" s="18">
        <v>0</v>
      </c>
      <c r="X32" s="18">
        <v>0</v>
      </c>
      <c r="Y32" s="18">
        <v>0</v>
      </c>
      <c r="Z32" s="18">
        <v>0</v>
      </c>
      <c r="AA32" s="18">
        <v>0</v>
      </c>
      <c r="AB32" s="18">
        <v>0</v>
      </c>
      <c r="AC32" s="18">
        <v>0</v>
      </c>
      <c r="AD32" s="18">
        <v>0</v>
      </c>
      <c r="AE32" s="18">
        <v>0</v>
      </c>
      <c r="AF32" s="18">
        <v>0</v>
      </c>
    </row>
    <row r="33" spans="1:32" ht="15.75" customHeight="1" thickBot="1">
      <c r="A33" s="4" t="s">
        <v>37</v>
      </c>
      <c r="B33" s="1" t="s">
        <v>21</v>
      </c>
      <c r="C33" s="5">
        <v>1</v>
      </c>
      <c r="D33" s="5">
        <v>0</v>
      </c>
      <c r="E33" s="5">
        <v>1</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18">
        <v>0</v>
      </c>
      <c r="X33" s="18">
        <v>0</v>
      </c>
      <c r="Y33" s="18">
        <v>0</v>
      </c>
      <c r="Z33" s="18">
        <v>0</v>
      </c>
      <c r="AA33" s="18">
        <v>0</v>
      </c>
      <c r="AB33" s="18">
        <v>0</v>
      </c>
      <c r="AC33" s="17">
        <v>1</v>
      </c>
      <c r="AD33" s="18">
        <v>0</v>
      </c>
      <c r="AE33" s="18">
        <v>0</v>
      </c>
      <c r="AF33" s="18">
        <v>0</v>
      </c>
    </row>
    <row r="34" spans="1:32" ht="15.75" customHeight="1" thickBot="1">
      <c r="A34" s="4" t="s">
        <v>39</v>
      </c>
      <c r="B34" s="1" t="s">
        <v>38</v>
      </c>
      <c r="C34" s="5">
        <v>0</v>
      </c>
      <c r="D34" s="5">
        <v>0</v>
      </c>
      <c r="E34" s="5">
        <v>0</v>
      </c>
      <c r="F34" s="5">
        <v>1</v>
      </c>
      <c r="G34" s="5">
        <v>0</v>
      </c>
      <c r="H34" s="5">
        <v>0</v>
      </c>
      <c r="I34" s="5">
        <v>0</v>
      </c>
      <c r="J34" s="5">
        <v>0</v>
      </c>
      <c r="K34" s="5">
        <v>0</v>
      </c>
      <c r="L34" s="5">
        <v>0</v>
      </c>
      <c r="M34" s="5">
        <v>0</v>
      </c>
      <c r="N34" s="5">
        <v>0</v>
      </c>
      <c r="O34" s="5">
        <v>0</v>
      </c>
      <c r="P34" s="5">
        <v>0</v>
      </c>
      <c r="Q34" s="5">
        <v>1</v>
      </c>
      <c r="R34" s="5">
        <v>0</v>
      </c>
      <c r="S34" s="5">
        <v>0</v>
      </c>
      <c r="T34" s="5">
        <v>0</v>
      </c>
      <c r="U34" s="5">
        <v>0</v>
      </c>
      <c r="V34" s="5">
        <v>0</v>
      </c>
      <c r="W34" s="18">
        <v>0</v>
      </c>
      <c r="X34" s="18">
        <v>0</v>
      </c>
      <c r="Y34" s="17">
        <v>1</v>
      </c>
      <c r="Z34" s="18">
        <v>0</v>
      </c>
      <c r="AA34" s="17">
        <v>1</v>
      </c>
      <c r="AB34" s="18">
        <v>0</v>
      </c>
      <c r="AC34" s="18">
        <v>0</v>
      </c>
      <c r="AD34" s="18">
        <v>0</v>
      </c>
      <c r="AE34" s="18">
        <v>0</v>
      </c>
      <c r="AF34" s="17">
        <v>1</v>
      </c>
    </row>
    <row r="35" spans="1:32" ht="15.75" customHeight="1" thickBot="1">
      <c r="A35" s="4" t="s">
        <v>40</v>
      </c>
      <c r="B35" s="1" t="s">
        <v>38</v>
      </c>
      <c r="C35" s="5">
        <v>0</v>
      </c>
      <c r="D35" s="5">
        <v>0</v>
      </c>
      <c r="E35" s="5">
        <v>0</v>
      </c>
      <c r="F35" s="5">
        <v>0</v>
      </c>
      <c r="G35" s="5">
        <v>0</v>
      </c>
      <c r="H35" s="5">
        <v>0</v>
      </c>
      <c r="I35" s="5">
        <v>0</v>
      </c>
      <c r="J35" s="5">
        <v>0</v>
      </c>
      <c r="K35" s="5">
        <v>0</v>
      </c>
      <c r="L35" s="5">
        <v>0</v>
      </c>
      <c r="M35" s="5">
        <v>1</v>
      </c>
      <c r="N35" s="5">
        <v>0</v>
      </c>
      <c r="O35" s="5">
        <v>0</v>
      </c>
      <c r="P35" s="5">
        <v>0</v>
      </c>
      <c r="Q35" s="5">
        <v>0</v>
      </c>
      <c r="R35" s="5">
        <v>0</v>
      </c>
      <c r="S35" s="5">
        <v>1</v>
      </c>
      <c r="T35" s="5">
        <v>0</v>
      </c>
      <c r="U35" s="5">
        <v>0</v>
      </c>
      <c r="V35" s="5">
        <v>0</v>
      </c>
      <c r="W35" s="18">
        <v>0</v>
      </c>
      <c r="X35" s="17">
        <v>1</v>
      </c>
      <c r="Y35" s="18">
        <v>0</v>
      </c>
      <c r="Z35" s="18">
        <v>0</v>
      </c>
      <c r="AA35" s="18">
        <v>0</v>
      </c>
      <c r="AB35" s="18">
        <v>0</v>
      </c>
      <c r="AC35" s="18">
        <v>0</v>
      </c>
      <c r="AD35" s="18">
        <v>0</v>
      </c>
      <c r="AE35" s="17">
        <v>1</v>
      </c>
      <c r="AF35" s="18">
        <v>0</v>
      </c>
    </row>
    <row r="36" spans="1:32" ht="15.75" customHeight="1" thickBot="1">
      <c r="A36" s="4" t="s">
        <v>41</v>
      </c>
      <c r="B36" s="1" t="s">
        <v>38</v>
      </c>
      <c r="C36" s="5">
        <v>0</v>
      </c>
      <c r="D36" s="5">
        <v>0</v>
      </c>
      <c r="E36" s="5">
        <v>0</v>
      </c>
      <c r="F36" s="5">
        <v>0</v>
      </c>
      <c r="G36" s="5">
        <v>0</v>
      </c>
      <c r="H36" s="5">
        <v>0</v>
      </c>
      <c r="I36" s="5">
        <v>0</v>
      </c>
      <c r="J36" s="5">
        <v>0</v>
      </c>
      <c r="K36" s="5">
        <v>0</v>
      </c>
      <c r="L36" s="5">
        <v>0</v>
      </c>
      <c r="M36" s="5">
        <v>0</v>
      </c>
      <c r="N36" s="5">
        <v>0</v>
      </c>
      <c r="O36" s="5">
        <v>0</v>
      </c>
      <c r="P36" s="5">
        <v>1</v>
      </c>
      <c r="Q36" s="5">
        <v>0</v>
      </c>
      <c r="R36" s="5">
        <v>1</v>
      </c>
      <c r="S36" s="5">
        <v>0</v>
      </c>
      <c r="T36" s="5">
        <v>0</v>
      </c>
      <c r="U36" s="5">
        <v>1</v>
      </c>
      <c r="V36" s="5">
        <v>0</v>
      </c>
      <c r="W36" s="17">
        <v>1</v>
      </c>
      <c r="X36" s="17">
        <v>1</v>
      </c>
      <c r="Y36" s="18">
        <v>0</v>
      </c>
      <c r="Z36" s="18">
        <v>0</v>
      </c>
      <c r="AA36" s="18">
        <v>0</v>
      </c>
      <c r="AB36" s="18">
        <v>0</v>
      </c>
      <c r="AC36" s="17">
        <v>1</v>
      </c>
      <c r="AD36" s="18">
        <v>0</v>
      </c>
      <c r="AE36" s="17">
        <v>1</v>
      </c>
      <c r="AF36" s="18">
        <v>0</v>
      </c>
    </row>
    <row r="37" spans="1:32" ht="15.75" customHeight="1" thickBot="1">
      <c r="A37" s="4" t="s">
        <v>42</v>
      </c>
      <c r="B37" s="1" t="s">
        <v>38</v>
      </c>
      <c r="C37" s="5">
        <v>0</v>
      </c>
      <c r="D37" s="5">
        <v>0</v>
      </c>
      <c r="E37" s="5">
        <v>0</v>
      </c>
      <c r="F37" s="5">
        <v>0</v>
      </c>
      <c r="G37" s="5">
        <v>0</v>
      </c>
      <c r="H37" s="5">
        <v>1</v>
      </c>
      <c r="I37" s="5">
        <v>0</v>
      </c>
      <c r="J37" s="5">
        <v>0</v>
      </c>
      <c r="K37" s="5">
        <v>0</v>
      </c>
      <c r="L37" s="5">
        <v>0</v>
      </c>
      <c r="M37" s="5">
        <v>0</v>
      </c>
      <c r="N37" s="5">
        <v>0</v>
      </c>
      <c r="O37" s="5">
        <v>1</v>
      </c>
      <c r="P37" s="5">
        <v>0</v>
      </c>
      <c r="Q37" s="5">
        <v>0</v>
      </c>
      <c r="R37" s="5">
        <v>1</v>
      </c>
      <c r="S37" s="5">
        <v>0</v>
      </c>
      <c r="T37" s="5">
        <v>0</v>
      </c>
      <c r="U37" s="5">
        <v>0</v>
      </c>
      <c r="V37" s="5">
        <v>0</v>
      </c>
      <c r="W37" s="18">
        <v>0</v>
      </c>
      <c r="X37" s="17">
        <v>1</v>
      </c>
      <c r="Y37" s="18">
        <v>0</v>
      </c>
      <c r="Z37" s="18">
        <v>0</v>
      </c>
      <c r="AA37" s="18">
        <v>0</v>
      </c>
      <c r="AB37" s="18">
        <v>0</v>
      </c>
      <c r="AC37" s="17">
        <v>1</v>
      </c>
      <c r="AD37" s="18">
        <v>0</v>
      </c>
      <c r="AE37" s="18">
        <v>0</v>
      </c>
      <c r="AF37" s="18">
        <v>0</v>
      </c>
    </row>
    <row r="38" spans="1:32" ht="15.75" customHeight="1" thickBot="1">
      <c r="A38" s="4" t="s">
        <v>43</v>
      </c>
      <c r="B38" s="1" t="s">
        <v>38</v>
      </c>
      <c r="C38" s="5">
        <v>1</v>
      </c>
      <c r="D38" s="5">
        <v>1</v>
      </c>
      <c r="E38" s="5">
        <v>0</v>
      </c>
      <c r="F38" s="5">
        <v>1</v>
      </c>
      <c r="G38" s="5">
        <v>1</v>
      </c>
      <c r="H38" s="5">
        <v>0</v>
      </c>
      <c r="I38" s="5">
        <v>0</v>
      </c>
      <c r="J38" s="5">
        <v>0</v>
      </c>
      <c r="K38" s="5">
        <v>0</v>
      </c>
      <c r="L38" s="5">
        <v>1</v>
      </c>
      <c r="M38" s="5">
        <v>1</v>
      </c>
      <c r="N38" s="5">
        <v>0</v>
      </c>
      <c r="O38" s="5">
        <v>1</v>
      </c>
      <c r="P38" s="5">
        <v>1</v>
      </c>
      <c r="Q38" s="5">
        <v>1</v>
      </c>
      <c r="R38" s="5">
        <v>1</v>
      </c>
      <c r="S38" s="5">
        <v>1</v>
      </c>
      <c r="T38" s="5">
        <v>0</v>
      </c>
      <c r="U38" s="5">
        <v>0</v>
      </c>
      <c r="V38" s="5">
        <v>0</v>
      </c>
      <c r="W38" s="17">
        <v>1</v>
      </c>
      <c r="X38" s="17">
        <v>1</v>
      </c>
      <c r="Y38" s="18">
        <v>0</v>
      </c>
      <c r="Z38" s="17">
        <v>1</v>
      </c>
      <c r="AA38" s="18">
        <v>0</v>
      </c>
      <c r="AB38" s="18">
        <v>0</v>
      </c>
      <c r="AC38" s="18">
        <v>0</v>
      </c>
      <c r="AD38" s="17">
        <v>1</v>
      </c>
      <c r="AE38" s="18">
        <v>0</v>
      </c>
      <c r="AF38" s="17">
        <v>1</v>
      </c>
    </row>
    <row r="39" spans="1:32" ht="15.75" customHeight="1" thickBot="1">
      <c r="A39" s="4" t="s">
        <v>44</v>
      </c>
      <c r="B39" s="1" t="s">
        <v>38</v>
      </c>
      <c r="C39" s="5">
        <v>0</v>
      </c>
      <c r="D39" s="5">
        <v>0</v>
      </c>
      <c r="E39" s="5">
        <v>0</v>
      </c>
      <c r="F39" s="5">
        <v>0</v>
      </c>
      <c r="G39" s="5">
        <v>0</v>
      </c>
      <c r="H39" s="5">
        <v>0</v>
      </c>
      <c r="I39" s="5">
        <v>0</v>
      </c>
      <c r="J39" s="5">
        <v>0</v>
      </c>
      <c r="K39" s="5">
        <v>0</v>
      </c>
      <c r="L39" s="5">
        <v>1</v>
      </c>
      <c r="M39" s="5">
        <v>0</v>
      </c>
      <c r="N39" s="5">
        <v>0</v>
      </c>
      <c r="O39" s="5">
        <v>0</v>
      </c>
      <c r="P39" s="5">
        <v>0</v>
      </c>
      <c r="Q39" s="5">
        <v>0</v>
      </c>
      <c r="R39" s="5">
        <v>0</v>
      </c>
      <c r="S39" s="5">
        <v>0</v>
      </c>
      <c r="T39" s="5">
        <v>0</v>
      </c>
      <c r="U39" s="5">
        <v>1</v>
      </c>
      <c r="V39" s="5">
        <v>0</v>
      </c>
      <c r="W39" s="18">
        <v>0</v>
      </c>
      <c r="X39" s="18">
        <v>0</v>
      </c>
      <c r="Y39" s="17">
        <v>1</v>
      </c>
      <c r="Z39" s="18">
        <v>0</v>
      </c>
      <c r="AA39" s="17">
        <v>1</v>
      </c>
      <c r="AB39" s="18">
        <v>0</v>
      </c>
      <c r="AC39" s="17">
        <v>1</v>
      </c>
      <c r="AD39" s="18">
        <v>0</v>
      </c>
      <c r="AE39" s="18">
        <v>0</v>
      </c>
      <c r="AF39" s="18">
        <v>0</v>
      </c>
    </row>
    <row r="40" spans="1:32" ht="15.75" customHeight="1" thickBot="1">
      <c r="A40" s="4" t="s">
        <v>45</v>
      </c>
      <c r="B40" s="1" t="s">
        <v>38</v>
      </c>
      <c r="C40" s="5">
        <v>1</v>
      </c>
      <c r="D40" s="5">
        <v>1</v>
      </c>
      <c r="E40" s="5">
        <v>0</v>
      </c>
      <c r="F40" s="5">
        <v>0</v>
      </c>
      <c r="G40" s="5">
        <v>1</v>
      </c>
      <c r="H40" s="5">
        <v>0</v>
      </c>
      <c r="I40" s="5">
        <v>0</v>
      </c>
      <c r="J40" s="5">
        <v>0</v>
      </c>
      <c r="K40" s="5">
        <v>1</v>
      </c>
      <c r="L40" s="5">
        <v>1</v>
      </c>
      <c r="M40" s="5">
        <v>0</v>
      </c>
      <c r="N40" s="5">
        <v>0</v>
      </c>
      <c r="O40" s="5">
        <v>0</v>
      </c>
      <c r="P40" s="5">
        <v>0</v>
      </c>
      <c r="Q40" s="5">
        <v>0</v>
      </c>
      <c r="R40" s="5">
        <v>1</v>
      </c>
      <c r="S40" s="5">
        <v>0</v>
      </c>
      <c r="T40" s="5">
        <v>0</v>
      </c>
      <c r="U40" s="5">
        <v>0</v>
      </c>
      <c r="V40" s="5">
        <v>0</v>
      </c>
      <c r="W40" s="17">
        <v>1</v>
      </c>
      <c r="X40" s="18">
        <v>0</v>
      </c>
      <c r="Y40" s="18">
        <v>0</v>
      </c>
      <c r="Z40" s="18">
        <v>0</v>
      </c>
      <c r="AA40" s="18">
        <v>0</v>
      </c>
      <c r="AB40" s="17">
        <v>1</v>
      </c>
      <c r="AC40" s="18">
        <v>0</v>
      </c>
      <c r="AD40" s="18">
        <v>0</v>
      </c>
      <c r="AE40" s="18">
        <v>0</v>
      </c>
      <c r="AF40" s="18">
        <v>0</v>
      </c>
    </row>
    <row r="41" spans="1:32" ht="15.75" customHeight="1" thickBot="1">
      <c r="A41" s="4" t="s">
        <v>46</v>
      </c>
      <c r="B41" s="1" t="s">
        <v>38</v>
      </c>
      <c r="C41" s="7">
        <v>0</v>
      </c>
      <c r="D41" s="5">
        <v>1</v>
      </c>
      <c r="E41" s="5">
        <v>0</v>
      </c>
      <c r="F41" s="5">
        <v>1</v>
      </c>
      <c r="G41" s="5">
        <v>1</v>
      </c>
      <c r="H41" s="5">
        <v>0</v>
      </c>
      <c r="I41" s="5">
        <v>0</v>
      </c>
      <c r="J41" s="5">
        <v>0</v>
      </c>
      <c r="K41" s="5">
        <v>0</v>
      </c>
      <c r="L41" s="5">
        <v>0</v>
      </c>
      <c r="M41" s="5">
        <v>0</v>
      </c>
      <c r="N41" s="5">
        <v>0</v>
      </c>
      <c r="O41" s="5">
        <v>0</v>
      </c>
      <c r="P41" s="5">
        <v>0</v>
      </c>
      <c r="Q41" s="5">
        <v>0</v>
      </c>
      <c r="R41" s="5">
        <v>0</v>
      </c>
      <c r="S41" s="5">
        <v>0</v>
      </c>
      <c r="T41" s="5">
        <v>0</v>
      </c>
      <c r="U41" s="5">
        <v>0</v>
      </c>
      <c r="V41" s="5">
        <v>0</v>
      </c>
      <c r="W41" s="18">
        <v>0</v>
      </c>
      <c r="X41" s="17">
        <v>1</v>
      </c>
      <c r="Y41" s="17">
        <v>1</v>
      </c>
      <c r="Z41" s="17">
        <v>1</v>
      </c>
      <c r="AA41" s="18">
        <v>0</v>
      </c>
      <c r="AB41" s="18">
        <v>0</v>
      </c>
      <c r="AC41" s="17">
        <v>0</v>
      </c>
      <c r="AD41" s="18">
        <v>0</v>
      </c>
      <c r="AE41" s="18">
        <v>0</v>
      </c>
      <c r="AF41" s="18">
        <v>0</v>
      </c>
    </row>
    <row r="42" spans="1:32" ht="15.75" customHeight="1" thickBot="1">
      <c r="A42" s="4" t="s">
        <v>47</v>
      </c>
      <c r="B42" s="1" t="s">
        <v>38</v>
      </c>
      <c r="C42" s="5">
        <v>1</v>
      </c>
      <c r="D42" s="5">
        <v>0</v>
      </c>
      <c r="E42" s="5">
        <v>1</v>
      </c>
      <c r="F42" s="5">
        <v>0</v>
      </c>
      <c r="G42" s="5">
        <v>0</v>
      </c>
      <c r="H42" s="5">
        <v>0</v>
      </c>
      <c r="I42" s="5">
        <v>1</v>
      </c>
      <c r="J42" s="5">
        <v>0</v>
      </c>
      <c r="K42" s="5">
        <v>0</v>
      </c>
      <c r="L42" s="5">
        <v>1</v>
      </c>
      <c r="M42" s="5">
        <v>0</v>
      </c>
      <c r="N42" s="5">
        <v>0</v>
      </c>
      <c r="O42" s="5">
        <v>0</v>
      </c>
      <c r="P42" s="5">
        <v>0</v>
      </c>
      <c r="Q42" s="5">
        <v>0</v>
      </c>
      <c r="R42" s="5">
        <v>0</v>
      </c>
      <c r="S42" s="5">
        <v>0</v>
      </c>
      <c r="T42" s="5">
        <v>1</v>
      </c>
      <c r="U42" s="5">
        <v>0</v>
      </c>
      <c r="V42" s="5">
        <v>0</v>
      </c>
      <c r="W42" s="19">
        <v>0</v>
      </c>
      <c r="X42" s="19">
        <v>0</v>
      </c>
      <c r="Y42" s="18">
        <v>0</v>
      </c>
      <c r="Z42" s="17">
        <v>1</v>
      </c>
      <c r="AA42" s="18">
        <v>0</v>
      </c>
      <c r="AB42" s="18">
        <v>0</v>
      </c>
      <c r="AC42" s="18">
        <v>0</v>
      </c>
      <c r="AD42" s="18">
        <v>0</v>
      </c>
      <c r="AE42" s="18">
        <v>0</v>
      </c>
      <c r="AF42" s="18">
        <v>0</v>
      </c>
    </row>
    <row r="43" spans="1:32" ht="15.75" customHeight="1" thickBot="1">
      <c r="A43" s="4" t="s">
        <v>48</v>
      </c>
      <c r="B43" s="1" t="s">
        <v>38</v>
      </c>
      <c r="C43" s="5">
        <v>0</v>
      </c>
      <c r="D43" s="5">
        <v>0</v>
      </c>
      <c r="E43" s="5">
        <v>0</v>
      </c>
      <c r="F43" s="5">
        <v>0</v>
      </c>
      <c r="G43" s="5">
        <v>0</v>
      </c>
      <c r="H43" s="5">
        <v>0</v>
      </c>
      <c r="I43" s="5">
        <v>0</v>
      </c>
      <c r="J43" s="5">
        <v>0</v>
      </c>
      <c r="K43" s="5">
        <v>0</v>
      </c>
      <c r="L43" s="5">
        <v>0</v>
      </c>
      <c r="M43" s="5">
        <v>1</v>
      </c>
      <c r="N43" s="5">
        <v>1</v>
      </c>
      <c r="O43" s="5">
        <v>0</v>
      </c>
      <c r="P43" s="5">
        <v>0</v>
      </c>
      <c r="Q43" s="5">
        <v>0</v>
      </c>
      <c r="R43" s="5">
        <v>0</v>
      </c>
      <c r="S43" s="5">
        <v>1</v>
      </c>
      <c r="T43" s="5">
        <v>0</v>
      </c>
      <c r="U43" s="5">
        <v>0</v>
      </c>
      <c r="V43" s="5">
        <v>0</v>
      </c>
      <c r="W43" s="18">
        <v>0</v>
      </c>
      <c r="X43" s="18">
        <v>0</v>
      </c>
      <c r="Y43" s="18">
        <v>0</v>
      </c>
      <c r="Z43" s="18">
        <v>0</v>
      </c>
      <c r="AA43" s="17">
        <v>1</v>
      </c>
      <c r="AB43" s="18">
        <v>0</v>
      </c>
      <c r="AC43" s="18">
        <v>0</v>
      </c>
      <c r="AD43" s="18">
        <v>0</v>
      </c>
      <c r="AE43" s="18">
        <v>0</v>
      </c>
      <c r="AF43" s="18">
        <v>0</v>
      </c>
    </row>
    <row r="44" spans="1:32" ht="15.75" customHeight="1" thickBot="1">
      <c r="A44" s="4" t="s">
        <v>49</v>
      </c>
      <c r="B44" s="1" t="s">
        <v>38</v>
      </c>
      <c r="C44" s="5">
        <v>0</v>
      </c>
      <c r="D44" s="5">
        <v>0</v>
      </c>
      <c r="E44" s="5">
        <v>0</v>
      </c>
      <c r="F44" s="5">
        <v>0</v>
      </c>
      <c r="G44" s="5">
        <v>1</v>
      </c>
      <c r="H44" s="5">
        <v>0</v>
      </c>
      <c r="I44" s="5">
        <v>0</v>
      </c>
      <c r="J44" s="5">
        <v>0</v>
      </c>
      <c r="K44" s="5">
        <v>0</v>
      </c>
      <c r="L44" s="5">
        <v>0</v>
      </c>
      <c r="M44" s="5">
        <v>0</v>
      </c>
      <c r="N44" s="5">
        <v>0</v>
      </c>
      <c r="O44" s="5">
        <v>0</v>
      </c>
      <c r="P44" s="5">
        <v>0</v>
      </c>
      <c r="Q44" s="5">
        <v>0</v>
      </c>
      <c r="R44" s="5">
        <v>0</v>
      </c>
      <c r="S44" s="5">
        <v>0</v>
      </c>
      <c r="T44" s="5">
        <v>0</v>
      </c>
      <c r="U44" s="5">
        <v>0</v>
      </c>
      <c r="V44" s="5">
        <v>0</v>
      </c>
      <c r="W44" s="18">
        <v>0</v>
      </c>
      <c r="X44" s="17">
        <v>1</v>
      </c>
      <c r="Y44" s="18">
        <v>0</v>
      </c>
      <c r="Z44" s="18">
        <v>0</v>
      </c>
      <c r="AA44" s="18">
        <v>0</v>
      </c>
      <c r="AB44" s="18">
        <v>0</v>
      </c>
      <c r="AC44" s="17">
        <v>1</v>
      </c>
      <c r="AD44" s="17">
        <v>1</v>
      </c>
      <c r="AE44" s="17">
        <v>1</v>
      </c>
      <c r="AF44" s="18">
        <v>0</v>
      </c>
    </row>
    <row r="45" spans="1:32" ht="15.75" customHeight="1" thickBot="1">
      <c r="A45" s="4" t="s">
        <v>50</v>
      </c>
      <c r="B45" s="1" t="s">
        <v>38</v>
      </c>
      <c r="C45" s="5">
        <v>0</v>
      </c>
      <c r="D45" s="5">
        <v>1</v>
      </c>
      <c r="E45" s="5">
        <v>0</v>
      </c>
      <c r="F45" s="5">
        <v>0</v>
      </c>
      <c r="G45" s="5">
        <v>0</v>
      </c>
      <c r="H45" s="5">
        <v>1</v>
      </c>
      <c r="I45" s="5">
        <v>0</v>
      </c>
      <c r="J45" s="5">
        <v>0</v>
      </c>
      <c r="K45" s="5">
        <v>0</v>
      </c>
      <c r="L45" s="5">
        <v>0</v>
      </c>
      <c r="M45" s="5">
        <v>0</v>
      </c>
      <c r="N45" s="5">
        <v>0</v>
      </c>
      <c r="O45" s="5">
        <v>0</v>
      </c>
      <c r="P45" s="5">
        <v>0</v>
      </c>
      <c r="Q45" s="5">
        <v>0</v>
      </c>
      <c r="R45" s="5">
        <v>1</v>
      </c>
      <c r="S45" s="5">
        <v>0</v>
      </c>
      <c r="T45" s="5">
        <v>0</v>
      </c>
      <c r="U45" s="5">
        <v>0</v>
      </c>
      <c r="V45" s="5">
        <v>0</v>
      </c>
      <c r="W45" s="17">
        <v>1</v>
      </c>
      <c r="X45" s="17">
        <v>1</v>
      </c>
      <c r="Y45" s="18">
        <v>0</v>
      </c>
      <c r="Z45" s="18">
        <v>0</v>
      </c>
      <c r="AA45" s="17">
        <v>1</v>
      </c>
      <c r="AB45" s="18">
        <v>0</v>
      </c>
      <c r="AC45" s="18">
        <v>0</v>
      </c>
      <c r="AD45" s="18">
        <v>0</v>
      </c>
      <c r="AE45" s="18">
        <v>0</v>
      </c>
      <c r="AF45" s="18">
        <v>0</v>
      </c>
    </row>
    <row r="46" spans="1:32" ht="15.75" customHeight="1" thickBot="1">
      <c r="A46" s="4" t="s">
        <v>52</v>
      </c>
      <c r="B46" s="1" t="s">
        <v>51</v>
      </c>
      <c r="C46" s="5">
        <v>0</v>
      </c>
      <c r="D46" s="5">
        <v>0</v>
      </c>
      <c r="E46" s="5">
        <v>0</v>
      </c>
      <c r="F46" s="5">
        <v>0</v>
      </c>
      <c r="G46" s="5">
        <v>0</v>
      </c>
      <c r="H46" s="5">
        <v>0</v>
      </c>
      <c r="I46" s="5">
        <v>0</v>
      </c>
      <c r="J46" s="5">
        <v>0</v>
      </c>
      <c r="K46" s="5">
        <v>0</v>
      </c>
      <c r="L46" s="5">
        <v>0</v>
      </c>
      <c r="M46" s="5">
        <v>0</v>
      </c>
      <c r="N46" s="5">
        <v>0</v>
      </c>
      <c r="O46" s="5">
        <v>0</v>
      </c>
      <c r="P46" s="5">
        <v>1</v>
      </c>
      <c r="Q46" s="5">
        <v>0</v>
      </c>
      <c r="R46" s="5">
        <v>0</v>
      </c>
      <c r="S46" s="5">
        <v>0</v>
      </c>
      <c r="T46" s="5">
        <v>0</v>
      </c>
      <c r="U46" s="5">
        <v>0</v>
      </c>
      <c r="V46" s="5">
        <v>0</v>
      </c>
      <c r="W46" s="18">
        <v>0</v>
      </c>
      <c r="X46" s="17">
        <v>1</v>
      </c>
      <c r="Y46" s="18">
        <v>0</v>
      </c>
      <c r="Z46" s="18">
        <v>0</v>
      </c>
      <c r="AA46" s="18">
        <v>0</v>
      </c>
      <c r="AB46" s="18">
        <v>0</v>
      </c>
      <c r="AC46" s="18">
        <v>0</v>
      </c>
      <c r="AD46" s="17">
        <v>1</v>
      </c>
      <c r="AE46" s="18">
        <v>0</v>
      </c>
      <c r="AF46" s="18">
        <v>0</v>
      </c>
    </row>
    <row r="47" spans="1:32" ht="15.75" customHeight="1" thickBot="1">
      <c r="A47" s="4" t="s">
        <v>53</v>
      </c>
      <c r="B47" s="1" t="s">
        <v>51</v>
      </c>
      <c r="C47" s="5">
        <v>0</v>
      </c>
      <c r="D47" s="5">
        <v>0</v>
      </c>
      <c r="E47" s="5">
        <v>0</v>
      </c>
      <c r="F47" s="5">
        <v>0</v>
      </c>
      <c r="G47" s="5">
        <v>0</v>
      </c>
      <c r="H47" s="5">
        <v>0</v>
      </c>
      <c r="I47" s="5">
        <v>0</v>
      </c>
      <c r="J47" s="5">
        <v>0</v>
      </c>
      <c r="K47" s="5">
        <v>0</v>
      </c>
      <c r="L47" s="5">
        <v>0</v>
      </c>
      <c r="M47" s="5">
        <v>0</v>
      </c>
      <c r="N47" s="5">
        <v>0</v>
      </c>
      <c r="O47" s="5">
        <v>0</v>
      </c>
      <c r="P47" s="5">
        <v>0</v>
      </c>
      <c r="Q47" s="5">
        <v>0</v>
      </c>
      <c r="R47" s="5">
        <v>0</v>
      </c>
      <c r="S47" s="5">
        <v>0</v>
      </c>
      <c r="T47" s="5">
        <v>1</v>
      </c>
      <c r="U47" s="5">
        <v>0</v>
      </c>
      <c r="V47" s="5">
        <v>1</v>
      </c>
      <c r="W47" s="17">
        <v>1</v>
      </c>
      <c r="X47" s="18">
        <v>0</v>
      </c>
      <c r="Y47" s="17">
        <v>1</v>
      </c>
      <c r="Z47" s="18">
        <v>0</v>
      </c>
      <c r="AA47" s="20">
        <v>0</v>
      </c>
      <c r="AB47" s="18">
        <v>0</v>
      </c>
      <c r="AC47" s="18">
        <v>0</v>
      </c>
      <c r="AD47" s="18">
        <v>0</v>
      </c>
      <c r="AE47" s="18">
        <v>0</v>
      </c>
      <c r="AF47" s="18">
        <v>0</v>
      </c>
    </row>
    <row r="48" spans="1:32" ht="15.75" customHeight="1" thickBot="1">
      <c r="A48" s="4" t="s">
        <v>54</v>
      </c>
      <c r="B48" s="1" t="s">
        <v>51</v>
      </c>
      <c r="C48" s="5">
        <v>1</v>
      </c>
      <c r="D48" s="5">
        <v>0</v>
      </c>
      <c r="E48" s="5">
        <v>0</v>
      </c>
      <c r="F48" s="5">
        <v>0</v>
      </c>
      <c r="G48" s="5">
        <v>0</v>
      </c>
      <c r="H48" s="5">
        <v>0</v>
      </c>
      <c r="I48" s="5">
        <v>0</v>
      </c>
      <c r="J48" s="5">
        <v>0</v>
      </c>
      <c r="K48" s="5">
        <v>0</v>
      </c>
      <c r="L48" s="5">
        <v>1</v>
      </c>
      <c r="M48" s="5">
        <v>0</v>
      </c>
      <c r="N48" s="5">
        <v>0</v>
      </c>
      <c r="O48" s="5">
        <v>0</v>
      </c>
      <c r="P48" s="5">
        <v>0</v>
      </c>
      <c r="Q48" s="5">
        <v>0</v>
      </c>
      <c r="R48" s="5">
        <v>0</v>
      </c>
      <c r="S48" s="5">
        <v>0</v>
      </c>
      <c r="T48" s="5">
        <v>1</v>
      </c>
      <c r="U48" s="5">
        <v>1</v>
      </c>
      <c r="V48" s="5">
        <v>1</v>
      </c>
      <c r="W48" s="18">
        <v>0</v>
      </c>
      <c r="X48" s="18">
        <v>0</v>
      </c>
      <c r="Y48" s="18">
        <v>0</v>
      </c>
      <c r="Z48" s="17">
        <v>1</v>
      </c>
      <c r="AA48" s="18">
        <v>0</v>
      </c>
      <c r="AB48" s="17">
        <v>1</v>
      </c>
      <c r="AC48" s="18">
        <v>0</v>
      </c>
      <c r="AD48" s="17">
        <v>0</v>
      </c>
      <c r="AE48" s="17">
        <v>1</v>
      </c>
      <c r="AF48" s="18">
        <v>0</v>
      </c>
    </row>
    <row r="49" spans="1:32" ht="15.75" customHeight="1" thickBot="1">
      <c r="A49" s="4" t="s">
        <v>55</v>
      </c>
      <c r="B49" s="1" t="s">
        <v>51</v>
      </c>
      <c r="C49" s="5">
        <v>0</v>
      </c>
      <c r="D49" s="5">
        <v>1</v>
      </c>
      <c r="E49" s="5">
        <v>0</v>
      </c>
      <c r="F49" s="5">
        <v>0</v>
      </c>
      <c r="G49" s="5">
        <v>0</v>
      </c>
      <c r="H49" s="5">
        <v>0</v>
      </c>
      <c r="I49" s="5">
        <v>0</v>
      </c>
      <c r="J49" s="5">
        <v>0</v>
      </c>
      <c r="K49" s="5">
        <v>0</v>
      </c>
      <c r="L49" s="5">
        <v>0</v>
      </c>
      <c r="M49" s="5">
        <v>1</v>
      </c>
      <c r="N49" s="5">
        <v>0</v>
      </c>
      <c r="O49" s="5">
        <v>0</v>
      </c>
      <c r="P49" s="5">
        <v>0</v>
      </c>
      <c r="Q49" s="5">
        <v>0</v>
      </c>
      <c r="R49" s="5">
        <v>0</v>
      </c>
      <c r="S49" s="5">
        <v>0</v>
      </c>
      <c r="T49" s="5">
        <v>0</v>
      </c>
      <c r="U49" s="5">
        <v>0</v>
      </c>
      <c r="V49" s="5">
        <v>0</v>
      </c>
      <c r="W49" s="19">
        <v>0</v>
      </c>
      <c r="X49" s="19">
        <v>0</v>
      </c>
      <c r="Y49" s="18">
        <v>0</v>
      </c>
      <c r="Z49" s="18">
        <v>0</v>
      </c>
      <c r="AA49" s="18">
        <v>0</v>
      </c>
      <c r="AB49" s="17">
        <v>1</v>
      </c>
      <c r="AC49" s="18">
        <v>0</v>
      </c>
      <c r="AD49" s="18">
        <v>0</v>
      </c>
      <c r="AE49" s="17">
        <v>1</v>
      </c>
      <c r="AF49" s="18">
        <v>0</v>
      </c>
    </row>
    <row r="50" spans="1:32" ht="15.75" customHeight="1" thickBot="1">
      <c r="A50" s="4" t="s">
        <v>56</v>
      </c>
      <c r="B50" s="1" t="s">
        <v>51</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1</v>
      </c>
      <c r="U50" s="5">
        <v>0</v>
      </c>
      <c r="V50" s="5">
        <v>0</v>
      </c>
      <c r="W50" s="18">
        <v>0</v>
      </c>
      <c r="X50" s="18">
        <v>0</v>
      </c>
      <c r="Y50" s="18">
        <v>0</v>
      </c>
      <c r="Z50" s="18">
        <v>0</v>
      </c>
      <c r="AA50" s="18">
        <v>0</v>
      </c>
      <c r="AB50" s="18">
        <v>0</v>
      </c>
      <c r="AC50" s="18">
        <v>0</v>
      </c>
      <c r="AD50" s="18">
        <v>0</v>
      </c>
      <c r="AE50" s="17">
        <v>1</v>
      </c>
      <c r="AF50" s="18">
        <v>0</v>
      </c>
    </row>
    <row r="51" spans="1:32" ht="15.75" customHeight="1" thickBot="1">
      <c r="A51" s="4" t="s">
        <v>57</v>
      </c>
      <c r="B51" s="1" t="s">
        <v>51</v>
      </c>
      <c r="C51" s="5">
        <v>0</v>
      </c>
      <c r="D51" s="5">
        <v>0</v>
      </c>
      <c r="E51" s="5">
        <v>0</v>
      </c>
      <c r="F51" s="5">
        <v>0</v>
      </c>
      <c r="G51" s="5">
        <v>0</v>
      </c>
      <c r="H51" s="5">
        <v>0</v>
      </c>
      <c r="I51" s="5">
        <v>0</v>
      </c>
      <c r="J51" s="5">
        <v>0</v>
      </c>
      <c r="K51" s="5">
        <v>1</v>
      </c>
      <c r="L51" s="5">
        <v>0</v>
      </c>
      <c r="M51" s="5">
        <v>0</v>
      </c>
      <c r="N51" s="5">
        <v>0</v>
      </c>
      <c r="O51" s="5">
        <v>0</v>
      </c>
      <c r="P51" s="5">
        <v>0</v>
      </c>
      <c r="Q51" s="5">
        <v>0</v>
      </c>
      <c r="R51" s="5">
        <v>0</v>
      </c>
      <c r="S51" s="5">
        <v>0</v>
      </c>
      <c r="T51" s="5">
        <v>0</v>
      </c>
      <c r="U51" s="5">
        <v>0</v>
      </c>
      <c r="V51" s="5">
        <v>0</v>
      </c>
      <c r="W51" s="18">
        <v>0</v>
      </c>
      <c r="X51" s="18">
        <v>0</v>
      </c>
      <c r="Y51" s="18">
        <v>0</v>
      </c>
      <c r="Z51" s="18">
        <v>0</v>
      </c>
      <c r="AA51" s="18">
        <v>0</v>
      </c>
      <c r="AB51" s="18">
        <v>0</v>
      </c>
      <c r="AC51" s="18">
        <v>0</v>
      </c>
      <c r="AD51" s="18">
        <v>0</v>
      </c>
      <c r="AE51" s="18">
        <v>0</v>
      </c>
      <c r="AF51" s="18">
        <v>0</v>
      </c>
    </row>
    <row r="52" spans="1:32" ht="15.75" customHeight="1" thickBot="1">
      <c r="A52" s="4" t="s">
        <v>58</v>
      </c>
      <c r="B52" s="1" t="s">
        <v>51</v>
      </c>
      <c r="C52" s="5">
        <v>0</v>
      </c>
      <c r="D52" s="5">
        <v>0</v>
      </c>
      <c r="E52" s="5">
        <v>0</v>
      </c>
      <c r="F52" s="5">
        <v>0</v>
      </c>
      <c r="G52" s="5">
        <v>0</v>
      </c>
      <c r="H52" s="5">
        <v>0</v>
      </c>
      <c r="I52" s="5">
        <v>0</v>
      </c>
      <c r="J52" s="5">
        <v>0</v>
      </c>
      <c r="K52" s="5">
        <v>0</v>
      </c>
      <c r="L52" s="5">
        <v>0</v>
      </c>
      <c r="M52" s="5">
        <v>0</v>
      </c>
      <c r="N52" s="5">
        <v>0</v>
      </c>
      <c r="O52" s="5">
        <v>0</v>
      </c>
      <c r="P52" s="5">
        <v>0</v>
      </c>
      <c r="Q52" s="5">
        <v>0</v>
      </c>
      <c r="R52" s="5">
        <v>0</v>
      </c>
      <c r="S52" s="5">
        <v>0</v>
      </c>
      <c r="T52" s="5">
        <v>1</v>
      </c>
      <c r="U52" s="5">
        <v>0</v>
      </c>
      <c r="V52" s="5">
        <v>0</v>
      </c>
      <c r="W52" s="18">
        <v>0</v>
      </c>
      <c r="X52" s="17">
        <v>1</v>
      </c>
      <c r="Y52" s="18">
        <v>0</v>
      </c>
      <c r="Z52" s="17">
        <v>1</v>
      </c>
      <c r="AA52" s="18">
        <v>0</v>
      </c>
      <c r="AB52" s="18">
        <v>0</v>
      </c>
      <c r="AC52" s="18">
        <v>0</v>
      </c>
      <c r="AD52" s="18">
        <v>0</v>
      </c>
      <c r="AE52" s="17">
        <v>1</v>
      </c>
      <c r="AF52" s="18">
        <v>0</v>
      </c>
    </row>
    <row r="53" spans="1:32" ht="15.75" customHeight="1" thickBot="1">
      <c r="A53" s="4" t="s">
        <v>59</v>
      </c>
      <c r="B53" s="1" t="s">
        <v>51</v>
      </c>
      <c r="C53" s="5">
        <v>0</v>
      </c>
      <c r="D53" s="5">
        <v>0</v>
      </c>
      <c r="E53" s="5">
        <v>0</v>
      </c>
      <c r="F53" s="5">
        <v>0</v>
      </c>
      <c r="G53" s="5">
        <v>0</v>
      </c>
      <c r="H53" s="5">
        <v>1</v>
      </c>
      <c r="I53" s="5">
        <v>0</v>
      </c>
      <c r="J53" s="5">
        <v>0</v>
      </c>
      <c r="K53" s="5">
        <v>0</v>
      </c>
      <c r="L53" s="5">
        <v>0</v>
      </c>
      <c r="M53" s="5">
        <v>0</v>
      </c>
      <c r="N53" s="5">
        <v>0</v>
      </c>
      <c r="O53" s="5">
        <v>1</v>
      </c>
      <c r="P53" s="5">
        <v>0</v>
      </c>
      <c r="Q53" s="5">
        <v>0</v>
      </c>
      <c r="R53" s="5">
        <v>0</v>
      </c>
      <c r="S53" s="5">
        <v>0</v>
      </c>
      <c r="T53" s="5">
        <v>0</v>
      </c>
      <c r="U53" s="5">
        <v>0</v>
      </c>
      <c r="V53" s="5">
        <v>0</v>
      </c>
      <c r="W53" s="18">
        <v>0</v>
      </c>
      <c r="X53" s="18">
        <v>0</v>
      </c>
      <c r="Y53" s="17">
        <v>1</v>
      </c>
      <c r="Z53" s="18">
        <v>0</v>
      </c>
      <c r="AA53" s="18">
        <v>0</v>
      </c>
      <c r="AB53" s="18">
        <v>0</v>
      </c>
      <c r="AC53" s="18">
        <v>0</v>
      </c>
      <c r="AD53" s="17">
        <v>1</v>
      </c>
      <c r="AE53" s="18">
        <v>0</v>
      </c>
      <c r="AF53" s="18">
        <v>0</v>
      </c>
    </row>
    <row r="54" spans="1:32" ht="15.75" customHeight="1" thickBot="1">
      <c r="A54" s="4" t="s">
        <v>60</v>
      </c>
      <c r="B54" s="1" t="s">
        <v>51</v>
      </c>
      <c r="C54" s="5">
        <v>0</v>
      </c>
      <c r="D54" s="5">
        <v>0</v>
      </c>
      <c r="E54" s="5">
        <v>0</v>
      </c>
      <c r="F54" s="5">
        <v>0</v>
      </c>
      <c r="G54" s="5">
        <v>0</v>
      </c>
      <c r="H54" s="5">
        <v>0</v>
      </c>
      <c r="I54" s="5">
        <v>0</v>
      </c>
      <c r="J54" s="5">
        <v>0</v>
      </c>
      <c r="K54" s="5">
        <v>0</v>
      </c>
      <c r="L54" s="5">
        <v>0</v>
      </c>
      <c r="M54" s="5">
        <v>1</v>
      </c>
      <c r="N54" s="5">
        <v>0</v>
      </c>
      <c r="O54" s="5">
        <v>0</v>
      </c>
      <c r="P54" s="5">
        <v>0</v>
      </c>
      <c r="Q54" s="5">
        <v>1</v>
      </c>
      <c r="R54" s="5">
        <v>0</v>
      </c>
      <c r="S54" s="5">
        <v>0</v>
      </c>
      <c r="T54" s="5">
        <v>0</v>
      </c>
      <c r="U54" s="5">
        <v>1</v>
      </c>
      <c r="V54" s="5">
        <v>0</v>
      </c>
      <c r="W54" s="18">
        <v>0</v>
      </c>
      <c r="X54" s="18">
        <v>0</v>
      </c>
      <c r="Y54" s="18">
        <v>0</v>
      </c>
      <c r="Z54" s="18">
        <v>0</v>
      </c>
      <c r="AA54" s="18">
        <v>0</v>
      </c>
      <c r="AB54" s="18">
        <v>0</v>
      </c>
      <c r="AC54" s="17">
        <v>1</v>
      </c>
      <c r="AD54" s="18">
        <v>0</v>
      </c>
      <c r="AE54" s="18">
        <v>0</v>
      </c>
      <c r="AF54" s="18">
        <v>0</v>
      </c>
    </row>
    <row r="55" spans="1:32" ht="15.75" customHeight="1" thickBot="1">
      <c r="A55" s="4" t="s">
        <v>61</v>
      </c>
      <c r="B55" s="1" t="s">
        <v>51</v>
      </c>
      <c r="C55" s="5">
        <v>0</v>
      </c>
      <c r="D55" s="5">
        <v>0</v>
      </c>
      <c r="E55" s="5">
        <v>1</v>
      </c>
      <c r="F55" s="5">
        <v>0</v>
      </c>
      <c r="G55" s="5">
        <v>0</v>
      </c>
      <c r="H55" s="5">
        <v>0</v>
      </c>
      <c r="I55" s="5">
        <v>0</v>
      </c>
      <c r="J55" s="5">
        <v>0</v>
      </c>
      <c r="K55" s="5">
        <v>1</v>
      </c>
      <c r="L55" s="5">
        <v>0</v>
      </c>
      <c r="M55" s="5">
        <v>0</v>
      </c>
      <c r="N55" s="5">
        <v>1</v>
      </c>
      <c r="O55" s="5">
        <v>1</v>
      </c>
      <c r="P55" s="5">
        <v>0</v>
      </c>
      <c r="Q55" s="5">
        <v>1</v>
      </c>
      <c r="R55" s="5">
        <v>0</v>
      </c>
      <c r="S55" s="5">
        <v>0</v>
      </c>
      <c r="T55" s="5">
        <v>1</v>
      </c>
      <c r="U55" s="5">
        <v>1</v>
      </c>
      <c r="V55" s="5">
        <v>0</v>
      </c>
      <c r="W55" s="18">
        <v>0</v>
      </c>
      <c r="X55" s="18">
        <v>0</v>
      </c>
      <c r="Y55" s="18">
        <v>0</v>
      </c>
      <c r="Z55" s="18">
        <v>0</v>
      </c>
      <c r="AA55" s="18">
        <v>0</v>
      </c>
      <c r="AB55" s="17">
        <v>1</v>
      </c>
      <c r="AC55" s="17">
        <v>1</v>
      </c>
      <c r="AD55" s="18">
        <v>0</v>
      </c>
      <c r="AE55" s="17">
        <v>1</v>
      </c>
      <c r="AF55" s="18">
        <v>0</v>
      </c>
    </row>
    <row r="56" spans="1:32" ht="15.75" customHeight="1">
      <c r="A56">
        <v>0</v>
      </c>
      <c r="B56">
        <v>0</v>
      </c>
      <c r="C56" s="19">
        <v>0</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8">
        <v>0</v>
      </c>
      <c r="X56" s="18">
        <v>0</v>
      </c>
      <c r="Y56" s="18">
        <v>0</v>
      </c>
      <c r="Z56" s="18">
        <v>0</v>
      </c>
      <c r="AA56" s="18">
        <v>0</v>
      </c>
      <c r="AB56" s="18">
        <v>0</v>
      </c>
      <c r="AC56" s="18">
        <v>0</v>
      </c>
      <c r="AD56" s="18">
        <v>0</v>
      </c>
      <c r="AE56" s="18">
        <v>0</v>
      </c>
      <c r="AF56" s="18">
        <v>0</v>
      </c>
    </row>
    <row r="62" spans="1:32" ht="15.75" customHeight="1">
      <c r="B62">
        <f>SUM(C2:AF55)</f>
        <v>281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2"/>
  <sheetViews>
    <sheetView workbookViewId="0">
      <selection activeCell="A3" sqref="A3"/>
    </sheetView>
  </sheetViews>
  <sheetFormatPr defaultRowHeight="15"/>
  <cols>
    <col min="1" max="1" width="14.28515625" customWidth="1"/>
    <col min="2" max="10" width="11.42578125" bestFit="1" customWidth="1"/>
  </cols>
  <sheetData>
    <row r="3" spans="1:10">
      <c r="A3" s="32" t="s">
        <v>78</v>
      </c>
      <c r="B3" t="s">
        <v>238</v>
      </c>
      <c r="C3" t="s">
        <v>239</v>
      </c>
      <c r="D3" t="s">
        <v>240</v>
      </c>
      <c r="E3" t="s">
        <v>241</v>
      </c>
      <c r="F3" t="s">
        <v>242</v>
      </c>
      <c r="G3" t="s">
        <v>243</v>
      </c>
      <c r="H3" t="s">
        <v>244</v>
      </c>
      <c r="I3" t="s">
        <v>245</v>
      </c>
      <c r="J3" t="s">
        <v>246</v>
      </c>
    </row>
    <row r="4" spans="1:10">
      <c r="A4" s="33" t="s">
        <v>3</v>
      </c>
      <c r="B4" s="34">
        <v>2</v>
      </c>
      <c r="C4" s="34">
        <v>2</v>
      </c>
      <c r="D4" s="34">
        <v>0</v>
      </c>
      <c r="E4" s="34">
        <v>1</v>
      </c>
      <c r="F4" s="34">
        <v>3</v>
      </c>
      <c r="G4" s="34">
        <v>2</v>
      </c>
      <c r="H4" s="34">
        <v>1</v>
      </c>
      <c r="I4" s="34">
        <v>1</v>
      </c>
      <c r="J4" s="34">
        <v>4</v>
      </c>
    </row>
    <row r="5" spans="1:10">
      <c r="A5" s="33" t="s">
        <v>21</v>
      </c>
      <c r="B5" s="34">
        <v>1</v>
      </c>
      <c r="C5" s="34">
        <v>1</v>
      </c>
      <c r="D5" s="34">
        <v>2</v>
      </c>
      <c r="E5" s="34">
        <v>3</v>
      </c>
      <c r="F5" s="34">
        <v>4</v>
      </c>
      <c r="G5" s="34">
        <v>0</v>
      </c>
      <c r="H5" s="34">
        <v>0</v>
      </c>
      <c r="I5" s="34">
        <v>0</v>
      </c>
      <c r="J5" s="34">
        <v>0</v>
      </c>
    </row>
    <row r="6" spans="1:10">
      <c r="A6" s="33" t="s">
        <v>90</v>
      </c>
      <c r="B6" s="34">
        <v>3</v>
      </c>
      <c r="C6" s="34">
        <v>5</v>
      </c>
      <c r="D6" s="34">
        <v>3</v>
      </c>
      <c r="E6" s="34">
        <v>5</v>
      </c>
      <c r="F6" s="34">
        <v>3</v>
      </c>
      <c r="G6" s="34">
        <v>5</v>
      </c>
      <c r="H6" s="34">
        <v>4</v>
      </c>
      <c r="I6" s="34">
        <v>5</v>
      </c>
      <c r="J6" s="34">
        <v>1</v>
      </c>
    </row>
    <row r="7" spans="1:10">
      <c r="A7" s="33" t="s">
        <v>91</v>
      </c>
      <c r="B7" s="34">
        <v>6</v>
      </c>
      <c r="C7" s="34">
        <v>2</v>
      </c>
      <c r="D7" s="34">
        <v>2</v>
      </c>
      <c r="E7" s="34">
        <v>5</v>
      </c>
      <c r="F7" s="34">
        <v>3</v>
      </c>
      <c r="G7" s="34">
        <v>3</v>
      </c>
      <c r="H7" s="34">
        <v>3</v>
      </c>
      <c r="I7" s="34">
        <v>5</v>
      </c>
      <c r="J7" s="34">
        <v>1</v>
      </c>
    </row>
    <row r="8" spans="1:10">
      <c r="A8" s="33" t="s">
        <v>38</v>
      </c>
      <c r="B8" s="34">
        <v>3</v>
      </c>
      <c r="C8" s="34">
        <v>4</v>
      </c>
      <c r="D8" s="34">
        <v>1</v>
      </c>
      <c r="E8" s="34">
        <v>3</v>
      </c>
      <c r="F8" s="34">
        <v>4</v>
      </c>
      <c r="G8" s="34">
        <v>2</v>
      </c>
      <c r="H8" s="34">
        <v>1</v>
      </c>
      <c r="I8" s="34">
        <v>0</v>
      </c>
      <c r="J8" s="34">
        <v>1</v>
      </c>
    </row>
    <row r="9" spans="1:10">
      <c r="A9" s="33" t="s">
        <v>51</v>
      </c>
      <c r="B9" s="34">
        <v>1</v>
      </c>
      <c r="C9" s="34">
        <v>1</v>
      </c>
      <c r="D9" s="34">
        <v>1</v>
      </c>
      <c r="E9" s="34">
        <v>0</v>
      </c>
      <c r="F9" s="34">
        <v>0</v>
      </c>
      <c r="G9" s="34">
        <v>1</v>
      </c>
      <c r="H9" s="34">
        <v>0</v>
      </c>
      <c r="I9" s="34">
        <v>0</v>
      </c>
      <c r="J9" s="34">
        <v>2</v>
      </c>
    </row>
    <row r="10" spans="1:10">
      <c r="A10" s="33" t="s">
        <v>93</v>
      </c>
      <c r="B10" s="34">
        <v>5</v>
      </c>
      <c r="C10" s="34">
        <v>4</v>
      </c>
      <c r="D10" s="34">
        <v>4</v>
      </c>
      <c r="E10" s="34">
        <v>3</v>
      </c>
      <c r="F10" s="34">
        <v>3</v>
      </c>
      <c r="G10" s="34">
        <v>3</v>
      </c>
      <c r="H10" s="34">
        <v>2</v>
      </c>
      <c r="I10" s="34">
        <v>2</v>
      </c>
      <c r="J10" s="34">
        <v>5</v>
      </c>
    </row>
    <row r="11" spans="1:10">
      <c r="A11" s="33" t="s">
        <v>92</v>
      </c>
      <c r="B11" s="34">
        <v>10</v>
      </c>
      <c r="C11" s="34">
        <v>10</v>
      </c>
      <c r="D11" s="34">
        <v>8</v>
      </c>
      <c r="E11" s="34">
        <v>10</v>
      </c>
      <c r="F11" s="34">
        <v>7</v>
      </c>
      <c r="G11" s="34">
        <v>9</v>
      </c>
      <c r="H11" s="34">
        <v>7</v>
      </c>
      <c r="I11" s="34">
        <v>6</v>
      </c>
      <c r="J11" s="34">
        <v>13</v>
      </c>
    </row>
    <row r="12" spans="1:10">
      <c r="A12" s="33" t="s">
        <v>83</v>
      </c>
      <c r="B12" s="34">
        <v>31</v>
      </c>
      <c r="C12" s="34">
        <v>29</v>
      </c>
      <c r="D12" s="34">
        <v>21</v>
      </c>
      <c r="E12" s="34">
        <v>30</v>
      </c>
      <c r="F12" s="34">
        <v>27</v>
      </c>
      <c r="G12" s="34">
        <v>25</v>
      </c>
      <c r="H12" s="34">
        <v>18</v>
      </c>
      <c r="I12" s="34">
        <v>19</v>
      </c>
      <c r="J12" s="34">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5"/>
  <sheetViews>
    <sheetView zoomScale="112" zoomScaleNormal="112" workbookViewId="0">
      <selection activeCell="B103" sqref="A1:AK105"/>
    </sheetView>
  </sheetViews>
  <sheetFormatPr defaultColWidth="20" defaultRowHeight="15" customHeight="1"/>
  <sheetData>
    <row r="1" spans="1:37" ht="15" customHeight="1" thickBot="1">
      <c r="A1" s="1" t="s">
        <v>198</v>
      </c>
      <c r="B1" s="14" t="s">
        <v>73</v>
      </c>
      <c r="C1" s="14" t="s">
        <v>199</v>
      </c>
      <c r="D1" s="15" t="s">
        <v>62</v>
      </c>
      <c r="E1" s="15" t="s">
        <v>63</v>
      </c>
      <c r="F1" s="15" t="s">
        <v>64</v>
      </c>
      <c r="G1" s="15" t="s">
        <v>65</v>
      </c>
      <c r="H1" s="15" t="s">
        <v>66</v>
      </c>
      <c r="I1" s="15" t="s">
        <v>67</v>
      </c>
      <c r="J1" s="15" t="s">
        <v>68</v>
      </c>
      <c r="K1" s="15" t="s">
        <v>69</v>
      </c>
      <c r="L1" s="15" t="s">
        <v>70</v>
      </c>
      <c r="M1" s="15" t="s">
        <v>71</v>
      </c>
      <c r="N1" s="15" t="s">
        <v>62</v>
      </c>
      <c r="O1" s="15" t="s">
        <v>63</v>
      </c>
      <c r="P1" s="15" t="s">
        <v>64</v>
      </c>
      <c r="Q1" s="15" t="s">
        <v>65</v>
      </c>
      <c r="R1" s="15" t="s">
        <v>66</v>
      </c>
      <c r="S1" s="15" t="s">
        <v>67</v>
      </c>
      <c r="T1" s="15" t="s">
        <v>68</v>
      </c>
      <c r="U1" s="15" t="s">
        <v>69</v>
      </c>
      <c r="V1" s="15" t="s">
        <v>70</v>
      </c>
      <c r="W1" s="15" t="s">
        <v>71</v>
      </c>
      <c r="X1" s="21" t="s">
        <v>62</v>
      </c>
      <c r="Y1" s="16" t="s">
        <v>63</v>
      </c>
      <c r="Z1" s="16" t="s">
        <v>64</v>
      </c>
      <c r="AA1" s="16" t="s">
        <v>65</v>
      </c>
      <c r="AB1" s="16" t="s">
        <v>66</v>
      </c>
      <c r="AC1" s="16" t="s">
        <v>67</v>
      </c>
      <c r="AD1" s="16" t="s">
        <v>68</v>
      </c>
      <c r="AE1" s="16" t="s">
        <v>69</v>
      </c>
      <c r="AF1" s="16" t="s">
        <v>70</v>
      </c>
      <c r="AG1" s="16" t="s">
        <v>71</v>
      </c>
      <c r="AH1" s="16" t="s">
        <v>139</v>
      </c>
      <c r="AI1" s="16" t="s">
        <v>140</v>
      </c>
      <c r="AJ1" s="16" t="s">
        <v>201</v>
      </c>
      <c r="AK1" s="16" t="s">
        <v>141</v>
      </c>
    </row>
    <row r="2" spans="1:37" ht="15" customHeight="1" thickBot="1">
      <c r="A2" s="4" t="s">
        <v>4</v>
      </c>
      <c r="B2" s="1" t="s">
        <v>3</v>
      </c>
      <c r="C2" s="14" t="s">
        <v>0</v>
      </c>
      <c r="D2" s="5">
        <v>1</v>
      </c>
      <c r="E2" s="5">
        <v>1</v>
      </c>
      <c r="F2" s="5">
        <v>0</v>
      </c>
      <c r="G2" s="5">
        <v>0</v>
      </c>
      <c r="H2" s="5">
        <v>1</v>
      </c>
      <c r="I2" s="5">
        <v>0</v>
      </c>
      <c r="J2" s="5">
        <v>1</v>
      </c>
      <c r="K2" s="5">
        <v>1</v>
      </c>
      <c r="L2" s="5">
        <v>1</v>
      </c>
      <c r="M2" s="5">
        <v>0</v>
      </c>
      <c r="N2" s="5">
        <v>1</v>
      </c>
      <c r="O2" s="5">
        <v>1</v>
      </c>
      <c r="P2" s="5">
        <v>1</v>
      </c>
      <c r="Q2" s="5">
        <v>0</v>
      </c>
      <c r="R2" s="5">
        <v>1</v>
      </c>
      <c r="S2" s="5">
        <v>0</v>
      </c>
      <c r="T2" s="5">
        <v>1</v>
      </c>
      <c r="U2" s="5">
        <v>1</v>
      </c>
      <c r="V2" s="5">
        <v>0</v>
      </c>
      <c r="W2" s="5">
        <v>1</v>
      </c>
      <c r="X2" s="17">
        <v>1</v>
      </c>
      <c r="Y2" s="17">
        <v>1</v>
      </c>
      <c r="Z2" s="18">
        <v>0</v>
      </c>
      <c r="AA2" s="18">
        <v>0</v>
      </c>
      <c r="AB2" s="17">
        <v>1</v>
      </c>
      <c r="AC2" s="17">
        <v>1</v>
      </c>
      <c r="AD2" s="17">
        <v>1</v>
      </c>
      <c r="AE2" s="17">
        <v>1</v>
      </c>
      <c r="AF2" s="17">
        <v>0</v>
      </c>
      <c r="AG2" s="17">
        <v>1</v>
      </c>
      <c r="AH2">
        <f>SUM(D2:AG2)</f>
        <v>20</v>
      </c>
      <c r="AI2">
        <f>SUM(D2:M2)</f>
        <v>6</v>
      </c>
      <c r="AJ2">
        <f>SUM(N2:W2)</f>
        <v>7</v>
      </c>
      <c r="AK2">
        <f>SUM(X2:AG2)</f>
        <v>7</v>
      </c>
    </row>
    <row r="3" spans="1:37" ht="15" customHeight="1" thickBot="1">
      <c r="A3" s="4" t="s">
        <v>6</v>
      </c>
      <c r="B3" s="1" t="s">
        <v>3</v>
      </c>
      <c r="C3" s="14" t="s">
        <v>0</v>
      </c>
      <c r="D3" s="5">
        <v>0</v>
      </c>
      <c r="E3" s="5">
        <v>0</v>
      </c>
      <c r="F3" s="5">
        <v>0</v>
      </c>
      <c r="G3" s="5">
        <v>0</v>
      </c>
      <c r="H3" s="5">
        <v>0</v>
      </c>
      <c r="I3" s="5">
        <v>0</v>
      </c>
      <c r="J3" s="5">
        <v>0</v>
      </c>
      <c r="K3" s="5">
        <v>0</v>
      </c>
      <c r="L3" s="5">
        <v>0</v>
      </c>
      <c r="M3" s="5">
        <v>1</v>
      </c>
      <c r="N3" s="5">
        <v>0</v>
      </c>
      <c r="O3" s="5">
        <v>0</v>
      </c>
      <c r="P3" s="5">
        <v>0</v>
      </c>
      <c r="Q3" s="5">
        <v>0</v>
      </c>
      <c r="R3" s="5">
        <v>0</v>
      </c>
      <c r="S3" s="5">
        <v>0</v>
      </c>
      <c r="T3" s="5">
        <v>0</v>
      </c>
      <c r="U3" s="5">
        <v>0</v>
      </c>
      <c r="V3" s="5">
        <v>0</v>
      </c>
      <c r="W3" s="5">
        <v>0</v>
      </c>
      <c r="X3" s="19">
        <v>0</v>
      </c>
      <c r="Y3" s="19">
        <v>0</v>
      </c>
      <c r="Z3" s="19">
        <v>0</v>
      </c>
      <c r="AA3" s="19">
        <v>0</v>
      </c>
      <c r="AB3" s="17">
        <v>1</v>
      </c>
      <c r="AC3" s="18">
        <v>0</v>
      </c>
      <c r="AD3" s="18">
        <v>0</v>
      </c>
      <c r="AE3" s="18">
        <v>0</v>
      </c>
      <c r="AF3" s="18">
        <v>0</v>
      </c>
      <c r="AG3" s="18">
        <v>0</v>
      </c>
      <c r="AH3">
        <f t="shared" ref="AH3:AH55" si="0">SUM(D3:AG3)</f>
        <v>2</v>
      </c>
      <c r="AI3">
        <f t="shared" ref="AI3:AI55" si="1">SUM(D3:M3)</f>
        <v>1</v>
      </c>
      <c r="AJ3">
        <f t="shared" ref="AJ3:AJ55" si="2">SUM(N3:W3)</f>
        <v>0</v>
      </c>
      <c r="AK3">
        <f t="shared" ref="AK3:AK55" si="3">SUM(X3:AG3)</f>
        <v>1</v>
      </c>
    </row>
    <row r="4" spans="1:37" ht="15" customHeight="1" thickBot="1">
      <c r="A4" s="4" t="s">
        <v>7</v>
      </c>
      <c r="B4" s="1" t="s">
        <v>3</v>
      </c>
      <c r="C4" s="14" t="s">
        <v>0</v>
      </c>
      <c r="D4" s="5">
        <v>0</v>
      </c>
      <c r="E4" s="5">
        <v>0</v>
      </c>
      <c r="F4" s="5">
        <v>0</v>
      </c>
      <c r="G4" s="5">
        <v>0</v>
      </c>
      <c r="H4" s="5">
        <v>0</v>
      </c>
      <c r="I4" s="5">
        <v>1</v>
      </c>
      <c r="J4" s="5">
        <v>0</v>
      </c>
      <c r="K4" s="5">
        <v>0</v>
      </c>
      <c r="L4" s="5">
        <v>0</v>
      </c>
      <c r="M4" s="5">
        <v>0</v>
      </c>
      <c r="N4" s="5">
        <v>0</v>
      </c>
      <c r="O4" s="5">
        <v>0</v>
      </c>
      <c r="P4" s="5">
        <v>0</v>
      </c>
      <c r="Q4" s="5">
        <v>0</v>
      </c>
      <c r="R4" s="5">
        <v>1</v>
      </c>
      <c r="S4" s="5">
        <v>1</v>
      </c>
      <c r="T4" s="5">
        <v>0</v>
      </c>
      <c r="U4" s="5">
        <v>0</v>
      </c>
      <c r="V4" s="5">
        <v>1</v>
      </c>
      <c r="W4" s="5">
        <v>1</v>
      </c>
      <c r="X4" s="19">
        <v>0</v>
      </c>
      <c r="Y4" s="19">
        <v>0</v>
      </c>
      <c r="Z4" s="19">
        <v>0</v>
      </c>
      <c r="AA4" s="17">
        <v>1</v>
      </c>
      <c r="AB4" s="18">
        <v>0</v>
      </c>
      <c r="AC4" s="18">
        <v>0</v>
      </c>
      <c r="AD4" s="18">
        <v>0</v>
      </c>
      <c r="AE4" s="18">
        <v>0</v>
      </c>
      <c r="AF4" s="18">
        <v>0</v>
      </c>
      <c r="AG4" s="17">
        <v>1</v>
      </c>
      <c r="AH4">
        <f t="shared" si="0"/>
        <v>7</v>
      </c>
      <c r="AI4">
        <f t="shared" si="1"/>
        <v>1</v>
      </c>
      <c r="AJ4">
        <f t="shared" si="2"/>
        <v>4</v>
      </c>
      <c r="AK4">
        <f t="shared" si="3"/>
        <v>2</v>
      </c>
    </row>
    <row r="5" spans="1:37" ht="15" customHeight="1" thickBot="1">
      <c r="A5" s="4" t="s">
        <v>8</v>
      </c>
      <c r="B5" s="1" t="s">
        <v>3</v>
      </c>
      <c r="C5" s="14" t="s">
        <v>0</v>
      </c>
      <c r="D5" s="5">
        <v>0</v>
      </c>
      <c r="E5" s="5">
        <v>0</v>
      </c>
      <c r="F5" s="5">
        <v>0</v>
      </c>
      <c r="G5" s="5">
        <v>0</v>
      </c>
      <c r="H5" s="5">
        <v>0</v>
      </c>
      <c r="I5" s="5">
        <v>0</v>
      </c>
      <c r="J5" s="5">
        <v>0</v>
      </c>
      <c r="K5" s="5">
        <v>0</v>
      </c>
      <c r="L5" s="5">
        <v>1</v>
      </c>
      <c r="M5" s="5">
        <v>0</v>
      </c>
      <c r="N5" s="5">
        <v>0</v>
      </c>
      <c r="O5" s="5">
        <v>0</v>
      </c>
      <c r="P5" s="5">
        <v>0</v>
      </c>
      <c r="Q5" s="5">
        <v>0</v>
      </c>
      <c r="R5" s="5">
        <v>0</v>
      </c>
      <c r="S5" s="5">
        <v>0</v>
      </c>
      <c r="T5" s="5">
        <v>0</v>
      </c>
      <c r="U5" s="5">
        <v>1</v>
      </c>
      <c r="V5" s="5">
        <v>0</v>
      </c>
      <c r="W5" s="5">
        <v>0</v>
      </c>
      <c r="X5" s="19">
        <v>0</v>
      </c>
      <c r="Y5" s="19">
        <v>0</v>
      </c>
      <c r="Z5" s="18">
        <v>0</v>
      </c>
      <c r="AA5" s="18">
        <v>0</v>
      </c>
      <c r="AB5" s="18">
        <v>0</v>
      </c>
      <c r="AC5" s="18">
        <v>0</v>
      </c>
      <c r="AD5" s="17">
        <v>1</v>
      </c>
      <c r="AE5" s="18">
        <v>0</v>
      </c>
      <c r="AF5" s="18">
        <v>0</v>
      </c>
      <c r="AG5" s="18">
        <v>0</v>
      </c>
      <c r="AH5">
        <f t="shared" si="0"/>
        <v>3</v>
      </c>
      <c r="AI5">
        <f t="shared" si="1"/>
        <v>1</v>
      </c>
      <c r="AJ5">
        <f t="shared" si="2"/>
        <v>1</v>
      </c>
      <c r="AK5">
        <f t="shared" si="3"/>
        <v>1</v>
      </c>
    </row>
    <row r="6" spans="1:37" ht="15" customHeight="1" thickBot="1">
      <c r="A6" s="4" t="s">
        <v>9</v>
      </c>
      <c r="B6" s="1" t="s">
        <v>3</v>
      </c>
      <c r="C6" s="14" t="s">
        <v>0</v>
      </c>
      <c r="D6" s="5">
        <v>0</v>
      </c>
      <c r="E6" s="5">
        <v>0</v>
      </c>
      <c r="F6" s="5">
        <v>0</v>
      </c>
      <c r="G6" s="5">
        <v>1</v>
      </c>
      <c r="H6" s="5">
        <v>0</v>
      </c>
      <c r="I6" s="5">
        <v>0</v>
      </c>
      <c r="J6" s="5">
        <v>0</v>
      </c>
      <c r="K6" s="5">
        <v>0</v>
      </c>
      <c r="L6" s="5">
        <v>0</v>
      </c>
      <c r="M6" s="5">
        <v>0</v>
      </c>
      <c r="N6" s="5">
        <v>0</v>
      </c>
      <c r="O6" s="5">
        <v>0</v>
      </c>
      <c r="P6" s="5">
        <v>0</v>
      </c>
      <c r="Q6" s="5">
        <v>0</v>
      </c>
      <c r="R6" s="5">
        <v>0</v>
      </c>
      <c r="S6" s="5">
        <v>0</v>
      </c>
      <c r="T6" s="5">
        <v>0</v>
      </c>
      <c r="U6" s="5">
        <v>0</v>
      </c>
      <c r="V6" s="5">
        <v>0</v>
      </c>
      <c r="W6" s="5">
        <v>0</v>
      </c>
      <c r="X6" s="18">
        <v>0</v>
      </c>
      <c r="Y6" s="18">
        <v>0</v>
      </c>
      <c r="Z6" s="18">
        <v>0</v>
      </c>
      <c r="AA6" s="18">
        <v>0</v>
      </c>
      <c r="AB6" s="17">
        <v>1</v>
      </c>
      <c r="AC6" s="18">
        <v>0</v>
      </c>
      <c r="AD6" s="18">
        <v>0</v>
      </c>
      <c r="AE6" s="18">
        <v>0</v>
      </c>
      <c r="AF6" s="18">
        <v>0</v>
      </c>
      <c r="AG6" s="18">
        <v>0</v>
      </c>
      <c r="AH6">
        <f t="shared" si="0"/>
        <v>2</v>
      </c>
      <c r="AI6">
        <f t="shared" si="1"/>
        <v>1</v>
      </c>
      <c r="AJ6">
        <f t="shared" si="2"/>
        <v>0</v>
      </c>
      <c r="AK6">
        <f t="shared" si="3"/>
        <v>1</v>
      </c>
    </row>
    <row r="7" spans="1:37" ht="15" customHeight="1" thickBot="1">
      <c r="A7" s="4" t="s">
        <v>10</v>
      </c>
      <c r="B7" s="1" t="s">
        <v>3</v>
      </c>
      <c r="C7" s="14" t="s">
        <v>0</v>
      </c>
      <c r="D7" s="5">
        <v>0</v>
      </c>
      <c r="E7" s="5">
        <v>0</v>
      </c>
      <c r="F7" s="5">
        <v>0</v>
      </c>
      <c r="G7" s="5">
        <v>0</v>
      </c>
      <c r="H7" s="5">
        <v>0</v>
      </c>
      <c r="I7" s="5">
        <v>0</v>
      </c>
      <c r="J7" s="5">
        <v>0</v>
      </c>
      <c r="K7" s="5">
        <v>0</v>
      </c>
      <c r="L7" s="5">
        <v>0</v>
      </c>
      <c r="M7" s="5">
        <v>0</v>
      </c>
      <c r="N7" s="5">
        <v>0</v>
      </c>
      <c r="O7" s="5">
        <v>0</v>
      </c>
      <c r="P7" s="5">
        <v>0</v>
      </c>
      <c r="Q7" s="5">
        <v>1</v>
      </c>
      <c r="R7" s="5">
        <v>0</v>
      </c>
      <c r="S7" s="5">
        <v>1</v>
      </c>
      <c r="T7" s="5">
        <v>0</v>
      </c>
      <c r="U7" s="5">
        <v>1</v>
      </c>
      <c r="V7" s="5">
        <v>0</v>
      </c>
      <c r="W7" s="5">
        <v>1</v>
      </c>
      <c r="X7" s="18">
        <v>0</v>
      </c>
      <c r="Y7" s="18">
        <v>0</v>
      </c>
      <c r="Z7" s="18">
        <v>0</v>
      </c>
      <c r="AA7" s="17">
        <v>1</v>
      </c>
      <c r="AB7" s="18">
        <v>0</v>
      </c>
      <c r="AC7" s="17">
        <v>1</v>
      </c>
      <c r="AD7" s="17">
        <v>1</v>
      </c>
      <c r="AE7" s="18">
        <v>0</v>
      </c>
      <c r="AF7" s="18">
        <v>0</v>
      </c>
      <c r="AG7" s="17">
        <v>1</v>
      </c>
      <c r="AH7">
        <f t="shared" si="0"/>
        <v>8</v>
      </c>
      <c r="AI7">
        <f t="shared" si="1"/>
        <v>0</v>
      </c>
      <c r="AJ7">
        <f t="shared" si="2"/>
        <v>4</v>
      </c>
      <c r="AK7">
        <f t="shared" si="3"/>
        <v>4</v>
      </c>
    </row>
    <row r="8" spans="1:37" ht="15" customHeight="1" thickBot="1">
      <c r="A8" s="4" t="s">
        <v>11</v>
      </c>
      <c r="B8" s="1" t="s">
        <v>3</v>
      </c>
      <c r="C8" s="14" t="s">
        <v>0</v>
      </c>
      <c r="D8" s="5">
        <v>0</v>
      </c>
      <c r="E8" s="5">
        <v>0</v>
      </c>
      <c r="F8" s="5">
        <v>0</v>
      </c>
      <c r="G8" s="5">
        <v>0</v>
      </c>
      <c r="H8" s="5">
        <v>0</v>
      </c>
      <c r="I8" s="5">
        <v>0</v>
      </c>
      <c r="J8" s="5">
        <v>0</v>
      </c>
      <c r="K8" s="5">
        <v>0</v>
      </c>
      <c r="L8" s="5">
        <v>0</v>
      </c>
      <c r="M8" s="5">
        <v>1</v>
      </c>
      <c r="N8" s="5">
        <v>0</v>
      </c>
      <c r="O8" s="5">
        <v>0</v>
      </c>
      <c r="P8" s="5">
        <v>0</v>
      </c>
      <c r="Q8" s="5">
        <v>0</v>
      </c>
      <c r="R8" s="5">
        <v>0</v>
      </c>
      <c r="S8" s="5">
        <v>0</v>
      </c>
      <c r="T8" s="5">
        <v>0</v>
      </c>
      <c r="U8" s="5">
        <v>0</v>
      </c>
      <c r="V8" s="5">
        <v>1</v>
      </c>
      <c r="W8" s="5">
        <v>0</v>
      </c>
      <c r="X8" s="18">
        <v>0</v>
      </c>
      <c r="Y8" s="17">
        <v>1</v>
      </c>
      <c r="Z8" s="18">
        <v>0</v>
      </c>
      <c r="AA8" s="17">
        <v>1</v>
      </c>
      <c r="AB8" s="18">
        <v>0</v>
      </c>
      <c r="AC8" s="18">
        <v>0</v>
      </c>
      <c r="AD8" s="17">
        <v>1</v>
      </c>
      <c r="AE8" s="18">
        <v>0</v>
      </c>
      <c r="AF8" s="17">
        <v>1</v>
      </c>
      <c r="AG8" s="18">
        <v>0</v>
      </c>
      <c r="AH8">
        <f t="shared" si="0"/>
        <v>6</v>
      </c>
      <c r="AI8">
        <f t="shared" si="1"/>
        <v>1</v>
      </c>
      <c r="AJ8">
        <f t="shared" si="2"/>
        <v>1</v>
      </c>
      <c r="AK8">
        <f t="shared" si="3"/>
        <v>4</v>
      </c>
    </row>
    <row r="9" spans="1:37" ht="15" customHeight="1" thickBot="1">
      <c r="A9" s="4" t="s">
        <v>12</v>
      </c>
      <c r="B9" s="1" t="s">
        <v>3</v>
      </c>
      <c r="C9" s="14" t="s">
        <v>0</v>
      </c>
      <c r="D9" s="5">
        <v>0</v>
      </c>
      <c r="E9" s="5">
        <v>0</v>
      </c>
      <c r="F9" s="5">
        <v>0</v>
      </c>
      <c r="G9" s="5">
        <v>0</v>
      </c>
      <c r="H9" s="5">
        <v>1</v>
      </c>
      <c r="I9" s="5">
        <v>0</v>
      </c>
      <c r="J9" s="5">
        <v>0</v>
      </c>
      <c r="K9" s="5">
        <v>0</v>
      </c>
      <c r="L9" s="5">
        <v>0</v>
      </c>
      <c r="M9" s="5">
        <v>1</v>
      </c>
      <c r="N9" s="5">
        <v>1</v>
      </c>
      <c r="O9" s="5">
        <v>1</v>
      </c>
      <c r="P9" s="5">
        <v>0</v>
      </c>
      <c r="Q9" s="5">
        <v>1</v>
      </c>
      <c r="R9" s="5">
        <v>0</v>
      </c>
      <c r="S9" s="5">
        <v>0</v>
      </c>
      <c r="T9" s="5">
        <v>0</v>
      </c>
      <c r="U9" s="5">
        <v>0</v>
      </c>
      <c r="V9" s="5">
        <v>0</v>
      </c>
      <c r="W9" s="5">
        <v>1</v>
      </c>
      <c r="X9" s="18">
        <v>0</v>
      </c>
      <c r="Y9" s="18">
        <v>0</v>
      </c>
      <c r="Z9" s="18">
        <v>0</v>
      </c>
      <c r="AA9" s="18">
        <v>0</v>
      </c>
      <c r="AB9" s="18">
        <v>0</v>
      </c>
      <c r="AC9" s="18">
        <v>0</v>
      </c>
      <c r="AD9" s="17">
        <v>1</v>
      </c>
      <c r="AE9" s="17">
        <v>1</v>
      </c>
      <c r="AF9" s="18">
        <v>0</v>
      </c>
      <c r="AG9" s="18">
        <v>0</v>
      </c>
      <c r="AH9">
        <f t="shared" si="0"/>
        <v>8</v>
      </c>
      <c r="AI9">
        <f t="shared" si="1"/>
        <v>2</v>
      </c>
      <c r="AJ9">
        <f t="shared" si="2"/>
        <v>4</v>
      </c>
      <c r="AK9">
        <f t="shared" si="3"/>
        <v>2</v>
      </c>
    </row>
    <row r="10" spans="1:37" ht="15" customHeight="1" thickBot="1">
      <c r="A10" s="4" t="s">
        <v>13</v>
      </c>
      <c r="B10" s="1" t="s">
        <v>3</v>
      </c>
      <c r="C10" s="14" t="s">
        <v>0</v>
      </c>
      <c r="D10" s="5">
        <v>0</v>
      </c>
      <c r="E10" s="5">
        <v>0</v>
      </c>
      <c r="F10" s="5">
        <v>0</v>
      </c>
      <c r="G10" s="5">
        <v>0</v>
      </c>
      <c r="H10" s="5">
        <v>0</v>
      </c>
      <c r="I10" s="5">
        <v>0</v>
      </c>
      <c r="J10" s="5">
        <v>0</v>
      </c>
      <c r="K10" s="5">
        <v>0</v>
      </c>
      <c r="L10" s="5">
        <v>0</v>
      </c>
      <c r="M10" s="5">
        <v>0</v>
      </c>
      <c r="N10" s="5">
        <v>0</v>
      </c>
      <c r="O10" s="5">
        <v>1</v>
      </c>
      <c r="P10" s="5">
        <v>0</v>
      </c>
      <c r="Q10" s="5">
        <v>0</v>
      </c>
      <c r="R10" s="5">
        <v>0</v>
      </c>
      <c r="S10" s="5">
        <v>1</v>
      </c>
      <c r="T10" s="5">
        <v>0</v>
      </c>
      <c r="U10" s="5">
        <v>0</v>
      </c>
      <c r="V10" s="5">
        <v>0</v>
      </c>
      <c r="W10" s="5">
        <v>0</v>
      </c>
      <c r="X10" s="18">
        <v>0</v>
      </c>
      <c r="Y10" s="18">
        <v>0</v>
      </c>
      <c r="Z10" s="18">
        <v>0</v>
      </c>
      <c r="AA10" s="18">
        <v>0</v>
      </c>
      <c r="AB10" s="18">
        <v>0</v>
      </c>
      <c r="AC10" s="18">
        <v>0</v>
      </c>
      <c r="AD10" s="18">
        <v>0</v>
      </c>
      <c r="AE10" s="17">
        <v>1</v>
      </c>
      <c r="AF10" s="18">
        <v>0</v>
      </c>
      <c r="AG10" s="18">
        <v>0</v>
      </c>
      <c r="AH10">
        <f t="shared" si="0"/>
        <v>3</v>
      </c>
      <c r="AI10">
        <f t="shared" si="1"/>
        <v>0</v>
      </c>
      <c r="AJ10">
        <f t="shared" si="2"/>
        <v>2</v>
      </c>
      <c r="AK10">
        <f t="shared" si="3"/>
        <v>1</v>
      </c>
    </row>
    <row r="11" spans="1:37" ht="15" customHeight="1" thickBot="1">
      <c r="A11" s="4" t="s">
        <v>14</v>
      </c>
      <c r="B11" s="1" t="s">
        <v>3</v>
      </c>
      <c r="C11" s="14" t="s">
        <v>0</v>
      </c>
      <c r="D11" s="5">
        <v>0</v>
      </c>
      <c r="E11" s="5">
        <v>0</v>
      </c>
      <c r="F11" s="5">
        <v>0</v>
      </c>
      <c r="G11" s="5">
        <v>0</v>
      </c>
      <c r="H11" s="5">
        <v>0</v>
      </c>
      <c r="I11" s="5">
        <v>0</v>
      </c>
      <c r="J11" s="5">
        <v>0</v>
      </c>
      <c r="K11" s="5">
        <v>0</v>
      </c>
      <c r="L11" s="5">
        <v>1</v>
      </c>
      <c r="M11" s="5">
        <v>1</v>
      </c>
      <c r="N11" s="5">
        <v>1</v>
      </c>
      <c r="O11" s="5">
        <v>0</v>
      </c>
      <c r="P11" s="5">
        <v>0</v>
      </c>
      <c r="Q11" s="5">
        <v>1</v>
      </c>
      <c r="R11" s="5">
        <v>0</v>
      </c>
      <c r="S11" s="5">
        <v>0</v>
      </c>
      <c r="T11" s="5">
        <v>1</v>
      </c>
      <c r="U11" s="5">
        <v>0</v>
      </c>
      <c r="V11" s="5">
        <v>0</v>
      </c>
      <c r="W11" s="5">
        <v>0</v>
      </c>
      <c r="X11" s="18">
        <v>0</v>
      </c>
      <c r="Y11" s="17">
        <v>1</v>
      </c>
      <c r="Z11" s="18">
        <v>0</v>
      </c>
      <c r="AA11" s="18">
        <v>0</v>
      </c>
      <c r="AB11" s="18">
        <v>0</v>
      </c>
      <c r="AC11" s="18">
        <v>0</v>
      </c>
      <c r="AD11" s="18">
        <v>0</v>
      </c>
      <c r="AE11" s="18">
        <v>0</v>
      </c>
      <c r="AF11" s="17">
        <v>1</v>
      </c>
      <c r="AG11" s="18">
        <v>0</v>
      </c>
      <c r="AH11">
        <f t="shared" si="0"/>
        <v>7</v>
      </c>
      <c r="AI11">
        <f t="shared" si="1"/>
        <v>2</v>
      </c>
      <c r="AJ11">
        <f t="shared" si="2"/>
        <v>3</v>
      </c>
      <c r="AK11">
        <f t="shared" si="3"/>
        <v>2</v>
      </c>
    </row>
    <row r="12" spans="1:37" ht="15" customHeight="1" thickBot="1">
      <c r="A12" s="4" t="s">
        <v>15</v>
      </c>
      <c r="B12" s="1" t="s">
        <v>3</v>
      </c>
      <c r="C12" s="14" t="s">
        <v>0</v>
      </c>
      <c r="D12" s="5">
        <v>0</v>
      </c>
      <c r="E12" s="5">
        <v>0</v>
      </c>
      <c r="F12" s="5">
        <v>0</v>
      </c>
      <c r="G12" s="5">
        <v>0</v>
      </c>
      <c r="H12" s="5">
        <v>0</v>
      </c>
      <c r="I12" s="5">
        <v>1</v>
      </c>
      <c r="J12" s="5">
        <v>0</v>
      </c>
      <c r="K12" s="5">
        <v>0</v>
      </c>
      <c r="L12" s="5">
        <v>0</v>
      </c>
      <c r="M12" s="5">
        <v>1</v>
      </c>
      <c r="N12" s="5">
        <v>0</v>
      </c>
      <c r="O12" s="5">
        <v>1</v>
      </c>
      <c r="P12" s="5">
        <v>0</v>
      </c>
      <c r="Q12" s="5">
        <v>1</v>
      </c>
      <c r="R12" s="5">
        <v>1</v>
      </c>
      <c r="S12" s="5">
        <v>1</v>
      </c>
      <c r="T12" s="5">
        <v>1</v>
      </c>
      <c r="U12" s="5">
        <v>0</v>
      </c>
      <c r="V12" s="5">
        <v>0</v>
      </c>
      <c r="W12" s="5">
        <v>0</v>
      </c>
      <c r="X12" s="18">
        <v>0</v>
      </c>
      <c r="Y12" s="18">
        <v>0</v>
      </c>
      <c r="Z12" s="18">
        <v>0</v>
      </c>
      <c r="AA12" s="18">
        <v>0</v>
      </c>
      <c r="AB12" s="18">
        <v>0</v>
      </c>
      <c r="AC12" s="18">
        <v>0</v>
      </c>
      <c r="AD12" s="18">
        <v>0</v>
      </c>
      <c r="AE12" s="17">
        <v>1</v>
      </c>
      <c r="AF12" s="18">
        <v>0</v>
      </c>
      <c r="AG12" s="18">
        <v>0</v>
      </c>
      <c r="AH12">
        <f t="shared" si="0"/>
        <v>8</v>
      </c>
      <c r="AI12">
        <f t="shared" si="1"/>
        <v>2</v>
      </c>
      <c r="AJ12">
        <f t="shared" si="2"/>
        <v>5</v>
      </c>
      <c r="AK12">
        <f t="shared" si="3"/>
        <v>1</v>
      </c>
    </row>
    <row r="13" spans="1:37" ht="15" customHeight="1" thickBot="1">
      <c r="A13" s="4" t="s">
        <v>16</v>
      </c>
      <c r="B13" s="1" t="s">
        <v>3</v>
      </c>
      <c r="C13" s="14" t="s">
        <v>0</v>
      </c>
      <c r="D13" s="5">
        <v>1</v>
      </c>
      <c r="E13" s="5">
        <v>0</v>
      </c>
      <c r="F13" s="5">
        <v>0</v>
      </c>
      <c r="G13" s="5">
        <v>0</v>
      </c>
      <c r="H13" s="5">
        <v>0</v>
      </c>
      <c r="I13" s="5">
        <v>0</v>
      </c>
      <c r="J13" s="5">
        <v>0</v>
      </c>
      <c r="K13" s="5">
        <v>0</v>
      </c>
      <c r="L13" s="5">
        <v>1</v>
      </c>
      <c r="M13" s="5">
        <v>0</v>
      </c>
      <c r="N13" s="5">
        <v>0</v>
      </c>
      <c r="O13" s="5">
        <v>0</v>
      </c>
      <c r="P13" s="5">
        <v>0</v>
      </c>
      <c r="Q13" s="5">
        <v>1</v>
      </c>
      <c r="R13" s="5">
        <v>0</v>
      </c>
      <c r="S13" s="5">
        <v>0</v>
      </c>
      <c r="T13" s="5">
        <v>0</v>
      </c>
      <c r="U13" s="5">
        <v>0</v>
      </c>
      <c r="V13" s="5">
        <v>0</v>
      </c>
      <c r="W13" s="5">
        <v>0</v>
      </c>
      <c r="X13" s="18">
        <v>0</v>
      </c>
      <c r="Y13" s="17">
        <v>1</v>
      </c>
      <c r="Z13" s="18">
        <v>0</v>
      </c>
      <c r="AA13" s="18">
        <v>0</v>
      </c>
      <c r="AB13" s="18">
        <v>0</v>
      </c>
      <c r="AC13" s="18">
        <v>0</v>
      </c>
      <c r="AD13" s="17">
        <v>1</v>
      </c>
      <c r="AE13" s="18">
        <v>0</v>
      </c>
      <c r="AF13" s="18">
        <v>0</v>
      </c>
      <c r="AG13" s="18">
        <v>0</v>
      </c>
      <c r="AH13">
        <f t="shared" si="0"/>
        <v>5</v>
      </c>
      <c r="AI13">
        <f t="shared" si="1"/>
        <v>2</v>
      </c>
      <c r="AJ13">
        <f t="shared" si="2"/>
        <v>1</v>
      </c>
      <c r="AK13">
        <f t="shared" si="3"/>
        <v>2</v>
      </c>
    </row>
    <row r="14" spans="1:37" ht="15" customHeight="1" thickBot="1">
      <c r="A14" s="4" t="s">
        <v>17</v>
      </c>
      <c r="B14" s="1" t="s">
        <v>3</v>
      </c>
      <c r="C14" s="14" t="s">
        <v>0</v>
      </c>
      <c r="D14" s="5">
        <v>0</v>
      </c>
      <c r="E14" s="5">
        <v>0</v>
      </c>
      <c r="F14" s="5">
        <v>0</v>
      </c>
      <c r="G14" s="5">
        <v>0</v>
      </c>
      <c r="H14" s="5">
        <v>0</v>
      </c>
      <c r="I14" s="5">
        <v>0</v>
      </c>
      <c r="J14" s="5">
        <v>0</v>
      </c>
      <c r="K14" s="5">
        <v>0</v>
      </c>
      <c r="L14" s="5">
        <v>0</v>
      </c>
      <c r="M14" s="5">
        <v>1</v>
      </c>
      <c r="N14" s="5">
        <v>0</v>
      </c>
      <c r="O14" s="5">
        <v>0</v>
      </c>
      <c r="P14" s="5">
        <v>0</v>
      </c>
      <c r="Q14" s="5">
        <v>0</v>
      </c>
      <c r="R14" s="5">
        <v>0</v>
      </c>
      <c r="S14" s="5">
        <v>0</v>
      </c>
      <c r="T14" s="5">
        <v>0</v>
      </c>
      <c r="U14" s="5">
        <v>0</v>
      </c>
      <c r="V14" s="5">
        <v>0</v>
      </c>
      <c r="W14" s="5">
        <v>1</v>
      </c>
      <c r="X14" s="18">
        <v>0</v>
      </c>
      <c r="Y14" s="18">
        <v>0</v>
      </c>
      <c r="Z14" s="18">
        <v>0</v>
      </c>
      <c r="AA14" s="18">
        <v>0</v>
      </c>
      <c r="AB14" s="18">
        <v>0</v>
      </c>
      <c r="AC14" s="18">
        <v>0</v>
      </c>
      <c r="AD14" s="18">
        <v>0</v>
      </c>
      <c r="AE14" s="17">
        <v>1</v>
      </c>
      <c r="AF14" s="18">
        <v>0</v>
      </c>
      <c r="AG14" s="18">
        <v>0</v>
      </c>
      <c r="AH14">
        <f t="shared" si="0"/>
        <v>3</v>
      </c>
      <c r="AI14">
        <f t="shared" si="1"/>
        <v>1</v>
      </c>
      <c r="AJ14">
        <f t="shared" si="2"/>
        <v>1</v>
      </c>
      <c r="AK14">
        <f t="shared" si="3"/>
        <v>1</v>
      </c>
    </row>
    <row r="15" spans="1:37" ht="15" customHeight="1" thickBot="1">
      <c r="A15" s="4" t="s">
        <v>18</v>
      </c>
      <c r="B15" s="1" t="s">
        <v>3</v>
      </c>
      <c r="C15" s="14" t="s">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1</v>
      </c>
      <c r="V15" s="5">
        <v>0</v>
      </c>
      <c r="W15" s="5">
        <v>0</v>
      </c>
      <c r="X15" s="18">
        <v>0</v>
      </c>
      <c r="Y15" s="17">
        <v>1</v>
      </c>
      <c r="Z15" s="18">
        <v>0</v>
      </c>
      <c r="AA15" s="18">
        <v>0</v>
      </c>
      <c r="AB15" s="18">
        <v>0</v>
      </c>
      <c r="AC15" s="18">
        <v>0</v>
      </c>
      <c r="AD15" s="18">
        <v>0</v>
      </c>
      <c r="AE15" s="18">
        <v>0</v>
      </c>
      <c r="AF15" s="18">
        <v>0</v>
      </c>
      <c r="AG15" s="18">
        <v>0</v>
      </c>
      <c r="AH15">
        <f t="shared" si="0"/>
        <v>2</v>
      </c>
      <c r="AI15">
        <f t="shared" si="1"/>
        <v>0</v>
      </c>
      <c r="AJ15">
        <f t="shared" si="2"/>
        <v>1</v>
      </c>
      <c r="AK15">
        <f t="shared" si="3"/>
        <v>1</v>
      </c>
    </row>
    <row r="16" spans="1:37" ht="15" customHeight="1" thickBot="1">
      <c r="A16" s="4" t="s">
        <v>19</v>
      </c>
      <c r="B16" s="1" t="s">
        <v>3</v>
      </c>
      <c r="C16" s="14" t="s">
        <v>0</v>
      </c>
      <c r="D16" s="5">
        <v>0</v>
      </c>
      <c r="E16" s="5">
        <v>1</v>
      </c>
      <c r="F16" s="5">
        <v>0</v>
      </c>
      <c r="G16" s="5">
        <v>0</v>
      </c>
      <c r="H16" s="5">
        <v>0</v>
      </c>
      <c r="I16" s="5">
        <v>0</v>
      </c>
      <c r="J16" s="5">
        <v>0</v>
      </c>
      <c r="K16" s="5">
        <v>0</v>
      </c>
      <c r="L16" s="5">
        <v>0</v>
      </c>
      <c r="M16" s="5">
        <v>0</v>
      </c>
      <c r="N16" s="5">
        <v>0</v>
      </c>
      <c r="O16" s="5">
        <v>1</v>
      </c>
      <c r="P16" s="5">
        <v>0</v>
      </c>
      <c r="Q16" s="5">
        <v>0</v>
      </c>
      <c r="R16" s="5">
        <v>0</v>
      </c>
      <c r="S16" s="5">
        <v>0</v>
      </c>
      <c r="T16" s="5">
        <v>0</v>
      </c>
      <c r="U16" s="5">
        <v>0</v>
      </c>
      <c r="V16" s="5">
        <v>0</v>
      </c>
      <c r="W16" s="5">
        <v>1</v>
      </c>
      <c r="X16" s="18">
        <v>0</v>
      </c>
      <c r="Y16" s="17">
        <v>1</v>
      </c>
      <c r="Z16" s="18">
        <v>0</v>
      </c>
      <c r="AA16" s="18">
        <v>0</v>
      </c>
      <c r="AB16" s="18">
        <v>0</v>
      </c>
      <c r="AC16" s="18">
        <v>0</v>
      </c>
      <c r="AD16" s="18">
        <v>0</v>
      </c>
      <c r="AE16" s="18">
        <v>0</v>
      </c>
      <c r="AF16" s="18">
        <v>0</v>
      </c>
      <c r="AG16" s="18">
        <v>0</v>
      </c>
      <c r="AH16">
        <f t="shared" si="0"/>
        <v>4</v>
      </c>
      <c r="AI16">
        <f t="shared" si="1"/>
        <v>1</v>
      </c>
      <c r="AJ16">
        <f t="shared" si="2"/>
        <v>2</v>
      </c>
      <c r="AK16">
        <f t="shared" si="3"/>
        <v>1</v>
      </c>
    </row>
    <row r="17" spans="1:37" ht="15" customHeight="1" thickBot="1">
      <c r="A17" s="4" t="s">
        <v>20</v>
      </c>
      <c r="B17" s="1" t="s">
        <v>3</v>
      </c>
      <c r="C17" s="14" t="s">
        <v>0</v>
      </c>
      <c r="D17" s="5">
        <v>0</v>
      </c>
      <c r="E17" s="5">
        <v>0</v>
      </c>
      <c r="F17" s="5">
        <v>0</v>
      </c>
      <c r="G17" s="5">
        <v>0</v>
      </c>
      <c r="H17" s="5">
        <v>1</v>
      </c>
      <c r="I17" s="5">
        <v>0</v>
      </c>
      <c r="J17" s="5">
        <v>0</v>
      </c>
      <c r="K17" s="5">
        <v>0</v>
      </c>
      <c r="L17" s="5">
        <v>0</v>
      </c>
      <c r="M17" s="5">
        <v>0</v>
      </c>
      <c r="N17" s="5">
        <v>0</v>
      </c>
      <c r="O17" s="5">
        <v>0</v>
      </c>
      <c r="P17" s="5">
        <v>0</v>
      </c>
      <c r="Q17" s="5">
        <v>0</v>
      </c>
      <c r="R17" s="5">
        <v>0</v>
      </c>
      <c r="S17" s="5">
        <v>0</v>
      </c>
      <c r="T17" s="5">
        <v>0</v>
      </c>
      <c r="U17" s="5">
        <v>0</v>
      </c>
      <c r="V17" s="5">
        <v>0</v>
      </c>
      <c r="W17" s="5">
        <v>0</v>
      </c>
      <c r="X17" s="18">
        <v>0</v>
      </c>
      <c r="Y17" s="18">
        <v>0</v>
      </c>
      <c r="Z17" s="18">
        <v>0</v>
      </c>
      <c r="AA17" s="17">
        <v>1</v>
      </c>
      <c r="AB17" s="17">
        <v>1</v>
      </c>
      <c r="AC17" s="18">
        <v>0</v>
      </c>
      <c r="AD17" s="18">
        <v>0</v>
      </c>
      <c r="AE17" s="18">
        <v>0</v>
      </c>
      <c r="AF17" s="18">
        <v>0</v>
      </c>
      <c r="AG17" s="17">
        <v>1</v>
      </c>
      <c r="AH17">
        <f t="shared" si="0"/>
        <v>4</v>
      </c>
      <c r="AI17">
        <f t="shared" si="1"/>
        <v>1</v>
      </c>
      <c r="AJ17">
        <f t="shared" si="2"/>
        <v>0</v>
      </c>
      <c r="AK17">
        <f t="shared" si="3"/>
        <v>3</v>
      </c>
    </row>
    <row r="18" spans="1:37" ht="15" customHeight="1" thickBot="1">
      <c r="A18" s="4" t="s">
        <v>22</v>
      </c>
      <c r="B18" s="1" t="s">
        <v>21</v>
      </c>
      <c r="C18" s="14" t="s">
        <v>0</v>
      </c>
      <c r="D18" s="5">
        <v>0</v>
      </c>
      <c r="E18" s="5">
        <v>1</v>
      </c>
      <c r="F18" s="5">
        <v>0</v>
      </c>
      <c r="G18" s="5">
        <v>0</v>
      </c>
      <c r="H18" s="5">
        <v>0</v>
      </c>
      <c r="I18" s="5">
        <v>0</v>
      </c>
      <c r="J18" s="5">
        <v>0</v>
      </c>
      <c r="K18" s="5">
        <v>0</v>
      </c>
      <c r="L18" s="5">
        <v>0</v>
      </c>
      <c r="M18" s="5">
        <v>0</v>
      </c>
      <c r="N18" s="5">
        <v>0</v>
      </c>
      <c r="O18" s="5">
        <v>1</v>
      </c>
      <c r="P18" s="5">
        <v>1</v>
      </c>
      <c r="Q18" s="5">
        <v>0</v>
      </c>
      <c r="R18" s="5">
        <v>1</v>
      </c>
      <c r="S18" s="5">
        <v>0</v>
      </c>
      <c r="T18" s="5">
        <v>0</v>
      </c>
      <c r="U18" s="5">
        <v>1</v>
      </c>
      <c r="V18" s="5">
        <v>1</v>
      </c>
      <c r="W18" s="5">
        <v>0</v>
      </c>
      <c r="X18" s="18">
        <v>0</v>
      </c>
      <c r="Y18" s="18">
        <v>0</v>
      </c>
      <c r="Z18" s="18">
        <v>0</v>
      </c>
      <c r="AA18" s="18">
        <v>0</v>
      </c>
      <c r="AB18" s="17">
        <v>1</v>
      </c>
      <c r="AC18" s="17">
        <v>1</v>
      </c>
      <c r="AD18" s="18">
        <v>0</v>
      </c>
      <c r="AE18" s="18">
        <v>0</v>
      </c>
      <c r="AF18" s="18">
        <v>0</v>
      </c>
      <c r="AG18" s="17">
        <v>1</v>
      </c>
      <c r="AH18">
        <f t="shared" si="0"/>
        <v>9</v>
      </c>
      <c r="AI18">
        <f t="shared" si="1"/>
        <v>1</v>
      </c>
      <c r="AJ18">
        <f t="shared" si="2"/>
        <v>5</v>
      </c>
      <c r="AK18">
        <f t="shared" si="3"/>
        <v>3</v>
      </c>
    </row>
    <row r="19" spans="1:37" ht="15" customHeight="1" thickBot="1">
      <c r="A19" s="4" t="s">
        <v>23</v>
      </c>
      <c r="B19" s="1" t="s">
        <v>21</v>
      </c>
      <c r="C19" s="14" t="s">
        <v>0</v>
      </c>
      <c r="D19" s="5">
        <v>0</v>
      </c>
      <c r="E19" s="5">
        <v>0</v>
      </c>
      <c r="F19" s="5">
        <v>0</v>
      </c>
      <c r="G19" s="5">
        <v>0</v>
      </c>
      <c r="H19" s="5">
        <v>0</v>
      </c>
      <c r="I19" s="5">
        <v>0</v>
      </c>
      <c r="J19" s="5">
        <v>0</v>
      </c>
      <c r="K19" s="5">
        <v>0</v>
      </c>
      <c r="L19" s="5">
        <v>0</v>
      </c>
      <c r="M19" s="5">
        <v>0</v>
      </c>
      <c r="N19" s="5">
        <v>0</v>
      </c>
      <c r="O19" s="5">
        <v>1</v>
      </c>
      <c r="P19" s="5">
        <v>1</v>
      </c>
      <c r="Q19" s="5">
        <v>0</v>
      </c>
      <c r="R19" s="5">
        <v>1</v>
      </c>
      <c r="S19" s="5">
        <v>1</v>
      </c>
      <c r="T19" s="5">
        <v>1</v>
      </c>
      <c r="U19" s="5">
        <v>1</v>
      </c>
      <c r="V19" s="5">
        <v>0</v>
      </c>
      <c r="W19" s="5">
        <v>0</v>
      </c>
      <c r="X19" s="17">
        <v>1</v>
      </c>
      <c r="Y19" s="18">
        <v>0</v>
      </c>
      <c r="Z19" s="18">
        <v>0</v>
      </c>
      <c r="AA19" s="18">
        <v>0</v>
      </c>
      <c r="AB19" s="18">
        <v>0</v>
      </c>
      <c r="AC19" s="18">
        <v>0</v>
      </c>
      <c r="AD19" s="18">
        <v>0</v>
      </c>
      <c r="AE19" s="18">
        <v>0</v>
      </c>
      <c r="AF19" s="17">
        <v>1</v>
      </c>
      <c r="AG19" s="18">
        <v>0</v>
      </c>
      <c r="AH19">
        <f t="shared" si="0"/>
        <v>8</v>
      </c>
      <c r="AI19">
        <f t="shared" si="1"/>
        <v>0</v>
      </c>
      <c r="AJ19">
        <f t="shared" si="2"/>
        <v>6</v>
      </c>
      <c r="AK19">
        <f t="shared" si="3"/>
        <v>2</v>
      </c>
    </row>
    <row r="20" spans="1:37" ht="15" customHeight="1" thickBot="1">
      <c r="A20" s="4" t="s">
        <v>24</v>
      </c>
      <c r="B20" s="1" t="s">
        <v>21</v>
      </c>
      <c r="C20" s="14" t="s">
        <v>0</v>
      </c>
      <c r="D20" s="5">
        <v>0</v>
      </c>
      <c r="E20" s="5">
        <v>0</v>
      </c>
      <c r="F20" s="5">
        <v>0</v>
      </c>
      <c r="G20" s="5">
        <v>1</v>
      </c>
      <c r="H20" s="5">
        <v>0</v>
      </c>
      <c r="I20" s="5">
        <v>0</v>
      </c>
      <c r="J20" s="5">
        <v>0</v>
      </c>
      <c r="K20" s="5">
        <v>0</v>
      </c>
      <c r="L20" s="5">
        <v>0</v>
      </c>
      <c r="M20" s="5">
        <v>0</v>
      </c>
      <c r="N20" s="5">
        <v>1</v>
      </c>
      <c r="O20" s="5">
        <v>1</v>
      </c>
      <c r="P20" s="5">
        <v>0</v>
      </c>
      <c r="Q20" s="5">
        <v>0</v>
      </c>
      <c r="R20" s="5">
        <v>0</v>
      </c>
      <c r="S20" s="5">
        <v>0</v>
      </c>
      <c r="T20" s="5">
        <v>0</v>
      </c>
      <c r="U20" s="5">
        <v>0</v>
      </c>
      <c r="V20" s="5">
        <v>1</v>
      </c>
      <c r="W20" s="5">
        <v>0</v>
      </c>
      <c r="X20" s="18">
        <v>0</v>
      </c>
      <c r="Y20" s="18">
        <v>0</v>
      </c>
      <c r="Z20" s="18">
        <v>0</v>
      </c>
      <c r="AA20" s="18">
        <v>0</v>
      </c>
      <c r="AB20" s="18">
        <v>0</v>
      </c>
      <c r="AC20" s="18">
        <v>0</v>
      </c>
      <c r="AD20" s="17">
        <v>1</v>
      </c>
      <c r="AE20" s="18">
        <v>0</v>
      </c>
      <c r="AF20" s="18">
        <v>0</v>
      </c>
      <c r="AG20" s="18">
        <v>0</v>
      </c>
      <c r="AH20">
        <f t="shared" si="0"/>
        <v>5</v>
      </c>
      <c r="AI20">
        <f t="shared" si="1"/>
        <v>1</v>
      </c>
      <c r="AJ20">
        <f t="shared" si="2"/>
        <v>3</v>
      </c>
      <c r="AK20">
        <f t="shared" si="3"/>
        <v>1</v>
      </c>
    </row>
    <row r="21" spans="1:37" ht="15" customHeight="1" thickBot="1">
      <c r="A21" s="4" t="s">
        <v>25</v>
      </c>
      <c r="B21" s="1" t="s">
        <v>21</v>
      </c>
      <c r="C21" s="14" t="s">
        <v>0</v>
      </c>
      <c r="D21" s="5">
        <v>0</v>
      </c>
      <c r="E21" s="5">
        <v>0</v>
      </c>
      <c r="F21" s="5">
        <v>0</v>
      </c>
      <c r="G21" s="5">
        <v>0</v>
      </c>
      <c r="H21" s="5">
        <v>1</v>
      </c>
      <c r="I21" s="5">
        <v>0</v>
      </c>
      <c r="J21" s="5">
        <v>0</v>
      </c>
      <c r="K21" s="5">
        <v>0</v>
      </c>
      <c r="L21" s="5">
        <v>0</v>
      </c>
      <c r="M21" s="5">
        <v>0</v>
      </c>
      <c r="N21" s="5">
        <v>0</v>
      </c>
      <c r="O21" s="5">
        <v>0</v>
      </c>
      <c r="P21" s="5">
        <v>0</v>
      </c>
      <c r="Q21" s="5">
        <v>0</v>
      </c>
      <c r="R21" s="5">
        <v>0</v>
      </c>
      <c r="S21" s="5">
        <v>0</v>
      </c>
      <c r="T21" s="5">
        <v>0</v>
      </c>
      <c r="U21" s="5">
        <v>0</v>
      </c>
      <c r="V21" s="5">
        <v>0</v>
      </c>
      <c r="W21" s="5">
        <v>0</v>
      </c>
      <c r="X21" s="17">
        <v>1</v>
      </c>
      <c r="Y21" s="18">
        <v>0</v>
      </c>
      <c r="Z21" s="17">
        <v>1</v>
      </c>
      <c r="AA21" s="18">
        <v>0</v>
      </c>
      <c r="AB21" s="18">
        <v>0</v>
      </c>
      <c r="AC21" s="17">
        <v>1</v>
      </c>
      <c r="AD21" s="17">
        <v>1</v>
      </c>
      <c r="AE21" s="18">
        <v>0</v>
      </c>
      <c r="AF21" s="18">
        <v>0</v>
      </c>
      <c r="AG21" s="17">
        <v>1</v>
      </c>
      <c r="AH21">
        <f t="shared" si="0"/>
        <v>6</v>
      </c>
      <c r="AI21">
        <f t="shared" si="1"/>
        <v>1</v>
      </c>
      <c r="AJ21">
        <f t="shared" si="2"/>
        <v>0</v>
      </c>
      <c r="AK21">
        <f t="shared" si="3"/>
        <v>5</v>
      </c>
    </row>
    <row r="22" spans="1:37" ht="15" customHeight="1" thickBot="1">
      <c r="A22" s="4" t="s">
        <v>26</v>
      </c>
      <c r="B22" s="1" t="s">
        <v>21</v>
      </c>
      <c r="C22" s="14" t="s">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18">
        <v>0</v>
      </c>
      <c r="Y22" s="18">
        <v>0</v>
      </c>
      <c r="Z22" s="18">
        <v>0</v>
      </c>
      <c r="AA22" s="18">
        <v>0</v>
      </c>
      <c r="AB22" s="18">
        <v>0</v>
      </c>
      <c r="AC22" s="18">
        <v>0</v>
      </c>
      <c r="AD22" s="18">
        <v>0</v>
      </c>
      <c r="AE22" s="18">
        <v>0</v>
      </c>
      <c r="AF22" s="18">
        <v>0</v>
      </c>
      <c r="AG22" s="17">
        <v>1</v>
      </c>
      <c r="AH22">
        <f t="shared" si="0"/>
        <v>1</v>
      </c>
      <c r="AI22">
        <f t="shared" si="1"/>
        <v>0</v>
      </c>
      <c r="AJ22">
        <f t="shared" si="2"/>
        <v>0</v>
      </c>
      <c r="AK22">
        <f t="shared" si="3"/>
        <v>1</v>
      </c>
    </row>
    <row r="23" spans="1:37" ht="15" customHeight="1" thickBot="1">
      <c r="A23" s="4" t="s">
        <v>27</v>
      </c>
      <c r="B23" s="1" t="s">
        <v>21</v>
      </c>
      <c r="C23" s="14" t="s">
        <v>0</v>
      </c>
      <c r="D23" s="5">
        <v>0</v>
      </c>
      <c r="E23" s="5">
        <v>0</v>
      </c>
      <c r="F23" s="5">
        <v>0</v>
      </c>
      <c r="G23" s="5">
        <v>1</v>
      </c>
      <c r="H23" s="5">
        <v>0</v>
      </c>
      <c r="I23" s="5">
        <v>0</v>
      </c>
      <c r="J23" s="5">
        <v>0</v>
      </c>
      <c r="K23" s="5">
        <v>0</v>
      </c>
      <c r="L23" s="5">
        <v>0</v>
      </c>
      <c r="M23" s="5">
        <v>0</v>
      </c>
      <c r="N23" s="5">
        <v>0</v>
      </c>
      <c r="O23" s="5">
        <v>0</v>
      </c>
      <c r="P23" s="5">
        <v>0</v>
      </c>
      <c r="Q23" s="5">
        <v>0</v>
      </c>
      <c r="R23" s="5">
        <v>0</v>
      </c>
      <c r="S23" s="5">
        <v>0</v>
      </c>
      <c r="T23" s="5">
        <v>0</v>
      </c>
      <c r="U23" s="5">
        <v>0</v>
      </c>
      <c r="V23" s="5">
        <v>0</v>
      </c>
      <c r="W23" s="5">
        <v>0</v>
      </c>
      <c r="X23" s="19">
        <v>0</v>
      </c>
      <c r="Y23" s="18">
        <v>0</v>
      </c>
      <c r="Z23" s="18">
        <v>0</v>
      </c>
      <c r="AA23" s="18">
        <v>0</v>
      </c>
      <c r="AB23" s="18">
        <v>0</v>
      </c>
      <c r="AC23" s="18">
        <v>0</v>
      </c>
      <c r="AD23" s="18">
        <v>0</v>
      </c>
      <c r="AE23" s="18">
        <v>0</v>
      </c>
      <c r="AF23" s="18">
        <v>0</v>
      </c>
      <c r="AG23" s="18">
        <v>0</v>
      </c>
      <c r="AH23">
        <f t="shared" si="0"/>
        <v>1</v>
      </c>
      <c r="AI23">
        <f t="shared" si="1"/>
        <v>1</v>
      </c>
      <c r="AJ23">
        <f t="shared" si="2"/>
        <v>0</v>
      </c>
      <c r="AK23">
        <f t="shared" si="3"/>
        <v>0</v>
      </c>
    </row>
    <row r="24" spans="1:37" ht="15" customHeight="1" thickBot="1">
      <c r="A24" s="4" t="s">
        <v>28</v>
      </c>
      <c r="B24" s="1" t="s">
        <v>21</v>
      </c>
      <c r="C24" s="14" t="s">
        <v>0</v>
      </c>
      <c r="D24" s="5">
        <v>0</v>
      </c>
      <c r="E24" s="5">
        <v>0</v>
      </c>
      <c r="F24" s="5">
        <v>0</v>
      </c>
      <c r="G24" s="5">
        <v>0</v>
      </c>
      <c r="H24" s="5">
        <v>0</v>
      </c>
      <c r="I24" s="5">
        <v>0</v>
      </c>
      <c r="J24" s="5">
        <v>0</v>
      </c>
      <c r="K24" s="5">
        <v>0</v>
      </c>
      <c r="L24" s="5">
        <v>0</v>
      </c>
      <c r="M24" s="5">
        <v>0</v>
      </c>
      <c r="N24" s="5">
        <v>1</v>
      </c>
      <c r="O24" s="5">
        <v>0</v>
      </c>
      <c r="P24" s="5">
        <v>0</v>
      </c>
      <c r="Q24" s="5">
        <v>0</v>
      </c>
      <c r="R24" s="5">
        <v>0</v>
      </c>
      <c r="S24" s="5">
        <v>0</v>
      </c>
      <c r="T24" s="5">
        <v>0</v>
      </c>
      <c r="U24" s="5">
        <v>0</v>
      </c>
      <c r="V24" s="5">
        <v>0</v>
      </c>
      <c r="W24" s="5">
        <v>0</v>
      </c>
      <c r="X24" s="18">
        <v>0</v>
      </c>
      <c r="Y24" s="18">
        <v>0</v>
      </c>
      <c r="Z24" s="18">
        <v>0</v>
      </c>
      <c r="AA24" s="18">
        <v>0</v>
      </c>
      <c r="AB24" s="18">
        <v>0</v>
      </c>
      <c r="AC24" s="18">
        <v>0</v>
      </c>
      <c r="AD24" s="18">
        <v>0</v>
      </c>
      <c r="AE24" s="18">
        <v>0</v>
      </c>
      <c r="AF24" s="17">
        <v>1</v>
      </c>
      <c r="AG24" s="18">
        <v>0</v>
      </c>
      <c r="AH24">
        <f t="shared" si="0"/>
        <v>2</v>
      </c>
      <c r="AI24">
        <f t="shared" si="1"/>
        <v>0</v>
      </c>
      <c r="AJ24">
        <f t="shared" si="2"/>
        <v>1</v>
      </c>
      <c r="AK24">
        <f t="shared" si="3"/>
        <v>1</v>
      </c>
    </row>
    <row r="25" spans="1:37" ht="15" customHeight="1" thickBot="1">
      <c r="A25" s="4" t="s">
        <v>29</v>
      </c>
      <c r="B25" s="1" t="s">
        <v>21</v>
      </c>
      <c r="C25" s="14" t="s">
        <v>0</v>
      </c>
      <c r="D25" s="5">
        <v>0</v>
      </c>
      <c r="E25" s="5">
        <v>0</v>
      </c>
      <c r="F25" s="5">
        <v>0</v>
      </c>
      <c r="G25" s="5">
        <v>0</v>
      </c>
      <c r="H25" s="5">
        <v>1</v>
      </c>
      <c r="I25" s="5">
        <v>0</v>
      </c>
      <c r="J25" s="5">
        <v>0</v>
      </c>
      <c r="K25" s="5">
        <v>0</v>
      </c>
      <c r="L25" s="5">
        <v>0</v>
      </c>
      <c r="M25" s="5">
        <v>0</v>
      </c>
      <c r="N25" s="5">
        <v>0</v>
      </c>
      <c r="O25" s="5">
        <v>0</v>
      </c>
      <c r="P25" s="5">
        <v>0</v>
      </c>
      <c r="Q25" s="5">
        <v>0</v>
      </c>
      <c r="R25" s="5">
        <v>1</v>
      </c>
      <c r="S25" s="5">
        <v>0</v>
      </c>
      <c r="T25" s="5">
        <v>0</v>
      </c>
      <c r="U25" s="5">
        <v>0</v>
      </c>
      <c r="V25" s="5">
        <v>0</v>
      </c>
      <c r="W25" s="5">
        <v>1</v>
      </c>
      <c r="X25" s="18">
        <v>0</v>
      </c>
      <c r="Y25" s="18">
        <v>0</v>
      </c>
      <c r="Z25" s="18">
        <v>0</v>
      </c>
      <c r="AA25" s="17">
        <v>1</v>
      </c>
      <c r="AB25" s="17">
        <v>1</v>
      </c>
      <c r="AC25" s="18">
        <v>0</v>
      </c>
      <c r="AD25" s="17">
        <v>1</v>
      </c>
      <c r="AE25" s="18">
        <v>0</v>
      </c>
      <c r="AF25" s="18">
        <v>0</v>
      </c>
      <c r="AG25" s="18">
        <v>0</v>
      </c>
      <c r="AH25">
        <f t="shared" si="0"/>
        <v>6</v>
      </c>
      <c r="AI25">
        <f t="shared" si="1"/>
        <v>1</v>
      </c>
      <c r="AJ25">
        <f t="shared" si="2"/>
        <v>2</v>
      </c>
      <c r="AK25">
        <f t="shared" si="3"/>
        <v>3</v>
      </c>
    </row>
    <row r="26" spans="1:37" ht="15" customHeight="1" thickBot="1">
      <c r="A26" s="4" t="s">
        <v>30</v>
      </c>
      <c r="B26" s="1" t="s">
        <v>21</v>
      </c>
      <c r="C26" s="14" t="s">
        <v>0</v>
      </c>
      <c r="D26" s="5">
        <v>0</v>
      </c>
      <c r="E26" s="5">
        <v>0</v>
      </c>
      <c r="F26" s="5">
        <v>1</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18">
        <v>0</v>
      </c>
      <c r="Y26" s="18">
        <v>0</v>
      </c>
      <c r="Z26" s="18">
        <v>0</v>
      </c>
      <c r="AA26" s="17">
        <v>1</v>
      </c>
      <c r="AB26" s="18">
        <v>0</v>
      </c>
      <c r="AC26" s="17">
        <v>1</v>
      </c>
      <c r="AD26" s="18">
        <v>0</v>
      </c>
      <c r="AE26" s="18">
        <v>0</v>
      </c>
      <c r="AF26" s="18">
        <v>0</v>
      </c>
      <c r="AG26" s="18">
        <v>0</v>
      </c>
      <c r="AH26">
        <f t="shared" si="0"/>
        <v>3</v>
      </c>
      <c r="AI26">
        <f t="shared" si="1"/>
        <v>1</v>
      </c>
      <c r="AJ26">
        <f t="shared" si="2"/>
        <v>0</v>
      </c>
      <c r="AK26">
        <f t="shared" si="3"/>
        <v>2</v>
      </c>
    </row>
    <row r="27" spans="1:37" ht="15" customHeight="1" thickBot="1">
      <c r="A27" s="4" t="s">
        <v>31</v>
      </c>
      <c r="B27" s="1" t="s">
        <v>21</v>
      </c>
      <c r="C27" s="14" t="s">
        <v>0</v>
      </c>
      <c r="D27" s="5">
        <v>0</v>
      </c>
      <c r="E27" s="5">
        <v>0</v>
      </c>
      <c r="F27" s="5">
        <v>0</v>
      </c>
      <c r="G27" s="5">
        <v>0</v>
      </c>
      <c r="H27" s="5">
        <v>0</v>
      </c>
      <c r="I27" s="5">
        <v>0</v>
      </c>
      <c r="J27" s="5">
        <v>0</v>
      </c>
      <c r="K27" s="5">
        <v>0</v>
      </c>
      <c r="L27" s="5">
        <v>0</v>
      </c>
      <c r="M27" s="5">
        <v>0</v>
      </c>
      <c r="N27" s="5">
        <v>1</v>
      </c>
      <c r="O27" s="5">
        <v>0</v>
      </c>
      <c r="P27" s="5">
        <v>0</v>
      </c>
      <c r="Q27" s="5">
        <v>0</v>
      </c>
      <c r="R27" s="5">
        <v>0</v>
      </c>
      <c r="S27" s="5">
        <v>0</v>
      </c>
      <c r="T27" s="5">
        <v>0</v>
      </c>
      <c r="U27" s="5">
        <v>1</v>
      </c>
      <c r="V27" s="5">
        <v>0</v>
      </c>
      <c r="W27" s="5">
        <v>1</v>
      </c>
      <c r="X27" s="18">
        <v>0</v>
      </c>
      <c r="Y27" s="18">
        <v>0</v>
      </c>
      <c r="Z27" s="18">
        <v>0</v>
      </c>
      <c r="AA27" s="18">
        <v>0</v>
      </c>
      <c r="AB27" s="18">
        <v>0</v>
      </c>
      <c r="AC27" s="18">
        <v>0</v>
      </c>
      <c r="AD27" s="18">
        <v>0</v>
      </c>
      <c r="AE27" s="18">
        <v>0</v>
      </c>
      <c r="AF27" s="18">
        <v>0</v>
      </c>
      <c r="AG27" s="17">
        <v>1</v>
      </c>
      <c r="AH27">
        <f t="shared" si="0"/>
        <v>4</v>
      </c>
      <c r="AI27">
        <f t="shared" si="1"/>
        <v>0</v>
      </c>
      <c r="AJ27">
        <f t="shared" si="2"/>
        <v>3</v>
      </c>
      <c r="AK27">
        <f t="shared" si="3"/>
        <v>1</v>
      </c>
    </row>
    <row r="28" spans="1:37" ht="15" customHeight="1" thickBot="1">
      <c r="A28" s="4" t="s">
        <v>32</v>
      </c>
      <c r="B28" s="1" t="s">
        <v>21</v>
      </c>
      <c r="C28" s="14" t="s">
        <v>0</v>
      </c>
      <c r="D28" s="5">
        <v>0</v>
      </c>
      <c r="E28" s="5">
        <v>0</v>
      </c>
      <c r="F28" s="5">
        <v>0</v>
      </c>
      <c r="G28" s="5">
        <v>1</v>
      </c>
      <c r="H28" s="5">
        <v>0</v>
      </c>
      <c r="I28" s="5">
        <v>0</v>
      </c>
      <c r="J28" s="5">
        <v>0</v>
      </c>
      <c r="K28" s="5">
        <v>0</v>
      </c>
      <c r="L28" s="5">
        <v>0</v>
      </c>
      <c r="M28" s="5">
        <v>0</v>
      </c>
      <c r="N28" s="5">
        <v>1</v>
      </c>
      <c r="O28" s="5">
        <v>0</v>
      </c>
      <c r="P28" s="5">
        <v>0</v>
      </c>
      <c r="Q28" s="5">
        <v>0</v>
      </c>
      <c r="R28" s="5">
        <v>0</v>
      </c>
      <c r="S28" s="5">
        <v>0</v>
      </c>
      <c r="T28" s="5">
        <v>0</v>
      </c>
      <c r="U28" s="5">
        <v>0</v>
      </c>
      <c r="V28" s="5">
        <v>0</v>
      </c>
      <c r="W28" s="5">
        <v>0</v>
      </c>
      <c r="X28" s="18">
        <v>0</v>
      </c>
      <c r="Y28" s="18">
        <v>0</v>
      </c>
      <c r="Z28" s="18">
        <v>0</v>
      </c>
      <c r="AA28" s="17">
        <v>1</v>
      </c>
      <c r="AB28" s="18">
        <v>0</v>
      </c>
      <c r="AC28" s="18">
        <v>0</v>
      </c>
      <c r="AD28" s="18">
        <v>0</v>
      </c>
      <c r="AE28" s="18">
        <v>0</v>
      </c>
      <c r="AF28" s="17">
        <v>1</v>
      </c>
      <c r="AG28" s="18">
        <v>0</v>
      </c>
      <c r="AH28">
        <f t="shared" si="0"/>
        <v>4</v>
      </c>
      <c r="AI28">
        <f t="shared" si="1"/>
        <v>1</v>
      </c>
      <c r="AJ28">
        <f t="shared" si="2"/>
        <v>1</v>
      </c>
      <c r="AK28">
        <f t="shared" si="3"/>
        <v>2</v>
      </c>
    </row>
    <row r="29" spans="1:37" ht="15" customHeight="1" thickBot="1">
      <c r="A29" s="4" t="s">
        <v>33</v>
      </c>
      <c r="B29" s="1" t="s">
        <v>21</v>
      </c>
      <c r="C29" s="14" t="s">
        <v>0</v>
      </c>
      <c r="D29" s="5">
        <v>0</v>
      </c>
      <c r="E29" s="5">
        <v>0</v>
      </c>
      <c r="F29" s="5">
        <v>0</v>
      </c>
      <c r="G29" s="5">
        <v>0</v>
      </c>
      <c r="H29" s="5">
        <v>0</v>
      </c>
      <c r="I29" s="5">
        <v>0</v>
      </c>
      <c r="J29" s="5">
        <v>0</v>
      </c>
      <c r="K29" s="5">
        <v>0</v>
      </c>
      <c r="L29" s="5">
        <v>0</v>
      </c>
      <c r="M29" s="5">
        <v>1</v>
      </c>
      <c r="N29" s="5">
        <v>0</v>
      </c>
      <c r="O29" s="5">
        <v>0</v>
      </c>
      <c r="P29" s="5">
        <v>0</v>
      </c>
      <c r="Q29" s="5">
        <v>0</v>
      </c>
      <c r="R29" s="5">
        <v>0</v>
      </c>
      <c r="S29" s="5">
        <v>0</v>
      </c>
      <c r="T29" s="5">
        <v>0</v>
      </c>
      <c r="U29" s="5">
        <v>0</v>
      </c>
      <c r="V29" s="5">
        <v>0</v>
      </c>
      <c r="W29" s="5">
        <v>0</v>
      </c>
      <c r="X29" s="18">
        <v>0</v>
      </c>
      <c r="Y29" s="18">
        <v>0</v>
      </c>
      <c r="Z29" s="18">
        <v>0</v>
      </c>
      <c r="AA29" s="18">
        <v>0</v>
      </c>
      <c r="AB29" s="18">
        <v>0</v>
      </c>
      <c r="AC29" s="17">
        <v>1</v>
      </c>
      <c r="AD29" s="17">
        <v>1</v>
      </c>
      <c r="AE29" s="18">
        <v>0</v>
      </c>
      <c r="AF29" s="18">
        <v>0</v>
      </c>
      <c r="AG29" s="18">
        <v>0</v>
      </c>
      <c r="AH29">
        <f t="shared" si="0"/>
        <v>3</v>
      </c>
      <c r="AI29">
        <f t="shared" si="1"/>
        <v>1</v>
      </c>
      <c r="AJ29">
        <f t="shared" si="2"/>
        <v>0</v>
      </c>
      <c r="AK29">
        <f t="shared" si="3"/>
        <v>2</v>
      </c>
    </row>
    <row r="30" spans="1:37" ht="15" customHeight="1" thickBot="1">
      <c r="A30" s="4" t="s">
        <v>34</v>
      </c>
      <c r="B30" s="1" t="s">
        <v>21</v>
      </c>
      <c r="C30" s="14" t="s">
        <v>0</v>
      </c>
      <c r="D30" s="5">
        <v>0</v>
      </c>
      <c r="E30" s="5">
        <v>0</v>
      </c>
      <c r="F30" s="5">
        <v>0</v>
      </c>
      <c r="G30" s="5">
        <v>0</v>
      </c>
      <c r="H30" s="5">
        <v>1</v>
      </c>
      <c r="I30" s="5">
        <v>0</v>
      </c>
      <c r="J30" s="5">
        <v>0</v>
      </c>
      <c r="K30" s="5">
        <v>0</v>
      </c>
      <c r="L30" s="5">
        <v>0</v>
      </c>
      <c r="M30" s="5">
        <v>0</v>
      </c>
      <c r="N30" s="5">
        <v>0</v>
      </c>
      <c r="O30" s="5">
        <v>0</v>
      </c>
      <c r="P30" s="5">
        <v>0</v>
      </c>
      <c r="Q30" s="5">
        <v>1</v>
      </c>
      <c r="R30" s="5">
        <v>0</v>
      </c>
      <c r="S30" s="5">
        <v>0</v>
      </c>
      <c r="T30" s="5">
        <v>0</v>
      </c>
      <c r="U30" s="5">
        <v>0</v>
      </c>
      <c r="V30" s="5">
        <v>0</v>
      </c>
      <c r="W30" s="5">
        <v>0</v>
      </c>
      <c r="X30" s="18">
        <v>0</v>
      </c>
      <c r="Y30" s="18">
        <v>0</v>
      </c>
      <c r="Z30" s="17">
        <v>1</v>
      </c>
      <c r="AA30" s="17">
        <v>1</v>
      </c>
      <c r="AB30" s="18">
        <v>0</v>
      </c>
      <c r="AC30" s="18">
        <v>0</v>
      </c>
      <c r="AD30" s="18">
        <v>0</v>
      </c>
      <c r="AE30" s="17">
        <v>1</v>
      </c>
      <c r="AF30" s="17">
        <v>1</v>
      </c>
      <c r="AG30" s="17">
        <v>1</v>
      </c>
      <c r="AH30">
        <f t="shared" si="0"/>
        <v>7</v>
      </c>
      <c r="AI30">
        <f t="shared" si="1"/>
        <v>1</v>
      </c>
      <c r="AJ30">
        <f t="shared" si="2"/>
        <v>1</v>
      </c>
      <c r="AK30">
        <f t="shared" si="3"/>
        <v>5</v>
      </c>
    </row>
    <row r="31" spans="1:37" ht="15" customHeight="1" thickBot="1">
      <c r="A31" s="4" t="s">
        <v>35</v>
      </c>
      <c r="B31" s="1" t="s">
        <v>21</v>
      </c>
      <c r="C31" s="14" t="s">
        <v>0</v>
      </c>
      <c r="D31" s="5">
        <v>0</v>
      </c>
      <c r="E31" s="5">
        <v>0</v>
      </c>
      <c r="F31" s="5">
        <v>0</v>
      </c>
      <c r="G31" s="5">
        <v>0</v>
      </c>
      <c r="H31" s="5">
        <v>1</v>
      </c>
      <c r="I31" s="5">
        <v>0</v>
      </c>
      <c r="J31" s="5">
        <v>0</v>
      </c>
      <c r="K31" s="5">
        <v>0</v>
      </c>
      <c r="L31" s="5">
        <v>0</v>
      </c>
      <c r="M31" s="5">
        <v>0</v>
      </c>
      <c r="N31" s="5">
        <v>0</v>
      </c>
      <c r="O31" s="5">
        <v>0</v>
      </c>
      <c r="P31" s="5">
        <v>0</v>
      </c>
      <c r="Q31" s="5">
        <v>0</v>
      </c>
      <c r="R31" s="5">
        <v>0</v>
      </c>
      <c r="S31" s="5">
        <v>1</v>
      </c>
      <c r="T31" s="5">
        <v>0</v>
      </c>
      <c r="U31" s="5">
        <v>0</v>
      </c>
      <c r="V31" s="5">
        <v>1</v>
      </c>
      <c r="W31" s="5">
        <v>0</v>
      </c>
      <c r="X31" s="18">
        <v>0</v>
      </c>
      <c r="Y31" s="18">
        <v>0</v>
      </c>
      <c r="Z31" s="18">
        <v>0</v>
      </c>
      <c r="AA31" s="18">
        <v>0</v>
      </c>
      <c r="AB31" s="18">
        <v>0</v>
      </c>
      <c r="AC31" s="17">
        <v>1</v>
      </c>
      <c r="AD31" s="17">
        <v>1</v>
      </c>
      <c r="AE31" s="18">
        <v>0</v>
      </c>
      <c r="AF31" s="18">
        <v>0</v>
      </c>
      <c r="AG31" s="18">
        <v>0</v>
      </c>
      <c r="AH31">
        <f t="shared" si="0"/>
        <v>5</v>
      </c>
      <c r="AI31">
        <f t="shared" si="1"/>
        <v>1</v>
      </c>
      <c r="AJ31">
        <f t="shared" si="2"/>
        <v>2</v>
      </c>
      <c r="AK31">
        <f t="shared" si="3"/>
        <v>2</v>
      </c>
    </row>
    <row r="32" spans="1:37" ht="15" customHeight="1" thickBot="1">
      <c r="A32" s="4" t="s">
        <v>36</v>
      </c>
      <c r="B32" s="1" t="s">
        <v>21</v>
      </c>
      <c r="C32" s="14" t="s">
        <v>0</v>
      </c>
      <c r="D32" s="5">
        <v>0</v>
      </c>
      <c r="E32" s="5">
        <v>0</v>
      </c>
      <c r="F32" s="5">
        <v>0</v>
      </c>
      <c r="G32" s="5">
        <v>0</v>
      </c>
      <c r="H32" s="5">
        <v>0</v>
      </c>
      <c r="I32" s="5">
        <v>0</v>
      </c>
      <c r="J32" s="5">
        <v>0</v>
      </c>
      <c r="K32" s="5">
        <v>0</v>
      </c>
      <c r="L32" s="5">
        <v>0</v>
      </c>
      <c r="M32" s="5">
        <v>0</v>
      </c>
      <c r="N32" s="5">
        <v>0</v>
      </c>
      <c r="O32" s="5">
        <v>0</v>
      </c>
      <c r="P32" s="5">
        <v>0</v>
      </c>
      <c r="Q32" s="5">
        <v>0</v>
      </c>
      <c r="R32" s="5">
        <v>0</v>
      </c>
      <c r="S32" s="5">
        <v>1</v>
      </c>
      <c r="T32" s="5">
        <v>0</v>
      </c>
      <c r="U32" s="5">
        <v>0</v>
      </c>
      <c r="V32" s="5">
        <v>0</v>
      </c>
      <c r="W32" s="5">
        <v>0</v>
      </c>
      <c r="X32" s="18">
        <v>0</v>
      </c>
      <c r="Y32" s="18">
        <v>0</v>
      </c>
      <c r="Z32" s="18">
        <v>0</v>
      </c>
      <c r="AA32" s="18">
        <v>0</v>
      </c>
      <c r="AB32" s="18">
        <v>0</v>
      </c>
      <c r="AC32" s="18">
        <v>0</v>
      </c>
      <c r="AD32" s="18">
        <v>0</v>
      </c>
      <c r="AE32" s="18">
        <v>0</v>
      </c>
      <c r="AF32" s="18">
        <v>0</v>
      </c>
      <c r="AG32" s="18">
        <v>0</v>
      </c>
      <c r="AH32">
        <f t="shared" si="0"/>
        <v>1</v>
      </c>
      <c r="AI32">
        <f t="shared" si="1"/>
        <v>0</v>
      </c>
      <c r="AJ32">
        <f t="shared" si="2"/>
        <v>1</v>
      </c>
      <c r="AK32">
        <f t="shared" si="3"/>
        <v>0</v>
      </c>
    </row>
    <row r="33" spans="1:37" ht="15" customHeight="1" thickBot="1">
      <c r="A33" s="4" t="s">
        <v>37</v>
      </c>
      <c r="B33" s="1" t="s">
        <v>21</v>
      </c>
      <c r="C33" s="14" t="s">
        <v>0</v>
      </c>
      <c r="D33" s="5">
        <v>1</v>
      </c>
      <c r="E33" s="5">
        <v>0</v>
      </c>
      <c r="F33" s="5">
        <v>1</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18">
        <v>0</v>
      </c>
      <c r="Y33" s="18">
        <v>0</v>
      </c>
      <c r="Z33" s="18">
        <v>0</v>
      </c>
      <c r="AA33" s="18">
        <v>0</v>
      </c>
      <c r="AB33" s="18">
        <v>0</v>
      </c>
      <c r="AC33" s="18">
        <v>0</v>
      </c>
      <c r="AD33" s="17">
        <v>1</v>
      </c>
      <c r="AE33" s="18">
        <v>0</v>
      </c>
      <c r="AF33" s="18">
        <v>0</v>
      </c>
      <c r="AG33" s="18">
        <v>0</v>
      </c>
      <c r="AH33">
        <f t="shared" si="0"/>
        <v>3</v>
      </c>
      <c r="AI33">
        <f t="shared" si="1"/>
        <v>2</v>
      </c>
      <c r="AJ33">
        <f t="shared" si="2"/>
        <v>0</v>
      </c>
      <c r="AK33">
        <f t="shared" si="3"/>
        <v>1</v>
      </c>
    </row>
    <row r="34" spans="1:37" ht="15" customHeight="1" thickBot="1">
      <c r="A34" s="4" t="s">
        <v>39</v>
      </c>
      <c r="B34" s="1" t="s">
        <v>38</v>
      </c>
      <c r="C34" s="14" t="s">
        <v>0</v>
      </c>
      <c r="D34" s="5">
        <v>0</v>
      </c>
      <c r="E34" s="5">
        <v>0</v>
      </c>
      <c r="F34" s="5">
        <v>0</v>
      </c>
      <c r="G34" s="5">
        <v>1</v>
      </c>
      <c r="H34" s="5">
        <v>0</v>
      </c>
      <c r="I34" s="5">
        <v>0</v>
      </c>
      <c r="J34" s="5">
        <v>0</v>
      </c>
      <c r="K34" s="5">
        <v>0</v>
      </c>
      <c r="L34" s="5">
        <v>0</v>
      </c>
      <c r="M34" s="5">
        <v>0</v>
      </c>
      <c r="N34" s="5">
        <v>0</v>
      </c>
      <c r="O34" s="5">
        <v>0</v>
      </c>
      <c r="P34" s="5">
        <v>0</v>
      </c>
      <c r="Q34" s="5">
        <v>0</v>
      </c>
      <c r="R34" s="5">
        <v>1</v>
      </c>
      <c r="S34" s="5">
        <v>0</v>
      </c>
      <c r="T34" s="5">
        <v>0</v>
      </c>
      <c r="U34" s="5">
        <v>0</v>
      </c>
      <c r="V34" s="5">
        <v>0</v>
      </c>
      <c r="W34" s="5">
        <v>0</v>
      </c>
      <c r="X34" s="18">
        <v>0</v>
      </c>
      <c r="Y34" s="18">
        <v>0</v>
      </c>
      <c r="Z34" s="17">
        <v>1</v>
      </c>
      <c r="AA34" s="18">
        <v>0</v>
      </c>
      <c r="AB34" s="17">
        <v>1</v>
      </c>
      <c r="AC34" s="18">
        <v>0</v>
      </c>
      <c r="AD34" s="18">
        <v>0</v>
      </c>
      <c r="AE34" s="18">
        <v>0</v>
      </c>
      <c r="AF34" s="18">
        <v>0</v>
      </c>
      <c r="AG34" s="17">
        <v>1</v>
      </c>
      <c r="AH34">
        <f t="shared" si="0"/>
        <v>5</v>
      </c>
      <c r="AI34">
        <f t="shared" si="1"/>
        <v>1</v>
      </c>
      <c r="AJ34">
        <f t="shared" si="2"/>
        <v>1</v>
      </c>
      <c r="AK34">
        <f t="shared" si="3"/>
        <v>3</v>
      </c>
    </row>
    <row r="35" spans="1:37" ht="15" customHeight="1" thickBot="1">
      <c r="A35" s="4" t="s">
        <v>40</v>
      </c>
      <c r="B35" s="1" t="s">
        <v>38</v>
      </c>
      <c r="C35" s="14" t="s">
        <v>0</v>
      </c>
      <c r="D35" s="5">
        <v>0</v>
      </c>
      <c r="E35" s="5">
        <v>0</v>
      </c>
      <c r="F35" s="5">
        <v>0</v>
      </c>
      <c r="G35" s="5">
        <v>0</v>
      </c>
      <c r="H35" s="5">
        <v>0</v>
      </c>
      <c r="I35" s="5">
        <v>0</v>
      </c>
      <c r="J35" s="5">
        <v>0</v>
      </c>
      <c r="K35" s="5">
        <v>0</v>
      </c>
      <c r="L35" s="5">
        <v>0</v>
      </c>
      <c r="M35" s="5">
        <v>0</v>
      </c>
      <c r="N35" s="5">
        <v>1</v>
      </c>
      <c r="O35" s="5">
        <v>0</v>
      </c>
      <c r="P35" s="5">
        <v>0</v>
      </c>
      <c r="Q35" s="5">
        <v>0</v>
      </c>
      <c r="R35" s="5">
        <v>0</v>
      </c>
      <c r="S35" s="5">
        <v>0</v>
      </c>
      <c r="T35" s="5">
        <v>1</v>
      </c>
      <c r="U35" s="5">
        <v>0</v>
      </c>
      <c r="V35" s="5">
        <v>0</v>
      </c>
      <c r="W35" s="5">
        <v>0</v>
      </c>
      <c r="X35" s="18">
        <v>0</v>
      </c>
      <c r="Y35" s="17">
        <v>1</v>
      </c>
      <c r="Z35" s="18">
        <v>0</v>
      </c>
      <c r="AA35" s="18">
        <v>0</v>
      </c>
      <c r="AB35" s="18">
        <v>0</v>
      </c>
      <c r="AC35" s="18">
        <v>0</v>
      </c>
      <c r="AD35" s="18">
        <v>0</v>
      </c>
      <c r="AE35" s="18">
        <v>0</v>
      </c>
      <c r="AF35" s="17">
        <v>1</v>
      </c>
      <c r="AG35" s="18">
        <v>0</v>
      </c>
      <c r="AH35">
        <f t="shared" si="0"/>
        <v>4</v>
      </c>
      <c r="AI35">
        <f t="shared" si="1"/>
        <v>0</v>
      </c>
      <c r="AJ35">
        <f t="shared" si="2"/>
        <v>2</v>
      </c>
      <c r="AK35">
        <f t="shared" si="3"/>
        <v>2</v>
      </c>
    </row>
    <row r="36" spans="1:37" ht="15" customHeight="1" thickBot="1">
      <c r="A36" s="4" t="s">
        <v>41</v>
      </c>
      <c r="B36" s="1" t="s">
        <v>38</v>
      </c>
      <c r="C36" s="14" t="s">
        <v>0</v>
      </c>
      <c r="D36" s="5">
        <v>0</v>
      </c>
      <c r="E36" s="5">
        <v>0</v>
      </c>
      <c r="F36" s="5">
        <v>0</v>
      </c>
      <c r="G36" s="5">
        <v>0</v>
      </c>
      <c r="H36" s="5">
        <v>0</v>
      </c>
      <c r="I36" s="5">
        <v>0</v>
      </c>
      <c r="J36" s="5">
        <v>0</v>
      </c>
      <c r="K36" s="5">
        <v>0</v>
      </c>
      <c r="L36" s="5">
        <v>0</v>
      </c>
      <c r="M36" s="5">
        <v>0</v>
      </c>
      <c r="N36" s="5">
        <v>0</v>
      </c>
      <c r="O36" s="5">
        <v>0</v>
      </c>
      <c r="P36" s="5">
        <v>0</v>
      </c>
      <c r="Q36" s="5">
        <v>1</v>
      </c>
      <c r="R36" s="5">
        <v>0</v>
      </c>
      <c r="S36" s="5">
        <v>1</v>
      </c>
      <c r="T36" s="5">
        <v>0</v>
      </c>
      <c r="U36" s="5">
        <v>0</v>
      </c>
      <c r="V36" s="5">
        <v>1</v>
      </c>
      <c r="W36" s="5">
        <v>0</v>
      </c>
      <c r="X36" s="17">
        <v>1</v>
      </c>
      <c r="Y36" s="17">
        <v>1</v>
      </c>
      <c r="Z36" s="18">
        <v>0</v>
      </c>
      <c r="AA36" s="18">
        <v>0</v>
      </c>
      <c r="AB36" s="18">
        <v>0</v>
      </c>
      <c r="AC36" s="18">
        <v>0</v>
      </c>
      <c r="AD36" s="17">
        <v>1</v>
      </c>
      <c r="AE36" s="18">
        <v>0</v>
      </c>
      <c r="AF36" s="17">
        <v>1</v>
      </c>
      <c r="AG36" s="18">
        <v>0</v>
      </c>
      <c r="AH36">
        <f t="shared" si="0"/>
        <v>7</v>
      </c>
      <c r="AI36">
        <f t="shared" si="1"/>
        <v>0</v>
      </c>
      <c r="AJ36">
        <f t="shared" si="2"/>
        <v>3</v>
      </c>
      <c r="AK36">
        <f t="shared" si="3"/>
        <v>4</v>
      </c>
    </row>
    <row r="37" spans="1:37" ht="15" customHeight="1" thickBot="1">
      <c r="A37" s="4" t="s">
        <v>42</v>
      </c>
      <c r="B37" s="1" t="s">
        <v>38</v>
      </c>
      <c r="C37" s="14" t="s">
        <v>0</v>
      </c>
      <c r="D37" s="5">
        <v>0</v>
      </c>
      <c r="E37" s="5">
        <v>0</v>
      </c>
      <c r="F37" s="5">
        <v>0</v>
      </c>
      <c r="G37" s="5">
        <v>0</v>
      </c>
      <c r="H37" s="5">
        <v>0</v>
      </c>
      <c r="I37" s="5">
        <v>1</v>
      </c>
      <c r="J37" s="5">
        <v>0</v>
      </c>
      <c r="K37" s="5">
        <v>0</v>
      </c>
      <c r="L37" s="5">
        <v>0</v>
      </c>
      <c r="M37" s="5">
        <v>0</v>
      </c>
      <c r="N37" s="5">
        <v>0</v>
      </c>
      <c r="O37" s="5">
        <v>0</v>
      </c>
      <c r="P37" s="5">
        <v>1</v>
      </c>
      <c r="Q37" s="5">
        <v>0</v>
      </c>
      <c r="R37" s="5">
        <v>0</v>
      </c>
      <c r="S37" s="5">
        <v>1</v>
      </c>
      <c r="T37" s="5">
        <v>0</v>
      </c>
      <c r="U37" s="5">
        <v>0</v>
      </c>
      <c r="V37" s="5">
        <v>0</v>
      </c>
      <c r="W37" s="5">
        <v>0</v>
      </c>
      <c r="X37" s="18">
        <v>0</v>
      </c>
      <c r="Y37" s="17">
        <v>1</v>
      </c>
      <c r="Z37" s="18">
        <v>0</v>
      </c>
      <c r="AA37" s="18">
        <v>0</v>
      </c>
      <c r="AB37" s="18">
        <v>0</v>
      </c>
      <c r="AC37" s="18">
        <v>0</v>
      </c>
      <c r="AD37" s="17">
        <v>1</v>
      </c>
      <c r="AE37" s="18">
        <v>0</v>
      </c>
      <c r="AF37" s="18">
        <v>0</v>
      </c>
      <c r="AG37" s="18">
        <v>0</v>
      </c>
      <c r="AH37">
        <f t="shared" si="0"/>
        <v>5</v>
      </c>
      <c r="AI37">
        <f t="shared" si="1"/>
        <v>1</v>
      </c>
      <c r="AJ37">
        <f t="shared" si="2"/>
        <v>2</v>
      </c>
      <c r="AK37">
        <f t="shared" si="3"/>
        <v>2</v>
      </c>
    </row>
    <row r="38" spans="1:37" ht="15" customHeight="1" thickBot="1">
      <c r="A38" s="4" t="s">
        <v>43</v>
      </c>
      <c r="B38" s="1" t="s">
        <v>38</v>
      </c>
      <c r="C38" s="14" t="s">
        <v>0</v>
      </c>
      <c r="D38" s="5">
        <v>1</v>
      </c>
      <c r="E38" s="5">
        <v>1</v>
      </c>
      <c r="F38" s="5">
        <v>0</v>
      </c>
      <c r="G38" s="5">
        <v>1</v>
      </c>
      <c r="H38" s="5">
        <v>1</v>
      </c>
      <c r="I38" s="5">
        <v>0</v>
      </c>
      <c r="J38" s="5">
        <v>0</v>
      </c>
      <c r="K38" s="5">
        <v>0</v>
      </c>
      <c r="L38" s="5">
        <v>0</v>
      </c>
      <c r="M38" s="5">
        <v>1</v>
      </c>
      <c r="N38" s="5">
        <v>1</v>
      </c>
      <c r="O38" s="5">
        <v>0</v>
      </c>
      <c r="P38" s="5">
        <v>1</v>
      </c>
      <c r="Q38" s="5">
        <v>1</v>
      </c>
      <c r="R38" s="5">
        <v>1</v>
      </c>
      <c r="S38" s="5">
        <v>1</v>
      </c>
      <c r="T38" s="5">
        <v>1</v>
      </c>
      <c r="U38" s="5">
        <v>0</v>
      </c>
      <c r="V38" s="5">
        <v>0</v>
      </c>
      <c r="W38" s="5">
        <v>0</v>
      </c>
      <c r="X38" s="17">
        <v>1</v>
      </c>
      <c r="Y38" s="17">
        <v>1</v>
      </c>
      <c r="Z38" s="18">
        <v>0</v>
      </c>
      <c r="AA38" s="17">
        <v>1</v>
      </c>
      <c r="AB38" s="18">
        <v>0</v>
      </c>
      <c r="AC38" s="18">
        <v>0</v>
      </c>
      <c r="AD38" s="18">
        <v>0</v>
      </c>
      <c r="AE38" s="17">
        <v>1</v>
      </c>
      <c r="AF38" s="18">
        <v>0</v>
      </c>
      <c r="AG38" s="17">
        <v>1</v>
      </c>
      <c r="AH38">
        <f t="shared" si="0"/>
        <v>16</v>
      </c>
      <c r="AI38">
        <f t="shared" si="1"/>
        <v>5</v>
      </c>
      <c r="AJ38">
        <f t="shared" si="2"/>
        <v>6</v>
      </c>
      <c r="AK38">
        <f t="shared" si="3"/>
        <v>5</v>
      </c>
    </row>
    <row r="39" spans="1:37" ht="15" customHeight="1" thickBot="1">
      <c r="A39" s="4" t="s">
        <v>44</v>
      </c>
      <c r="B39" s="1" t="s">
        <v>38</v>
      </c>
      <c r="C39" s="14" t="s">
        <v>0</v>
      </c>
      <c r="D39" s="5">
        <v>0</v>
      </c>
      <c r="E39" s="5">
        <v>0</v>
      </c>
      <c r="F39" s="5">
        <v>0</v>
      </c>
      <c r="G39" s="5">
        <v>0</v>
      </c>
      <c r="H39" s="5">
        <v>0</v>
      </c>
      <c r="I39" s="5">
        <v>0</v>
      </c>
      <c r="J39" s="5">
        <v>0</v>
      </c>
      <c r="K39" s="5">
        <v>0</v>
      </c>
      <c r="L39" s="5">
        <v>0</v>
      </c>
      <c r="M39" s="5">
        <v>1</v>
      </c>
      <c r="N39" s="5">
        <v>0</v>
      </c>
      <c r="O39" s="5">
        <v>0</v>
      </c>
      <c r="P39" s="5">
        <v>0</v>
      </c>
      <c r="Q39" s="5">
        <v>0</v>
      </c>
      <c r="R39" s="5">
        <v>0</v>
      </c>
      <c r="S39" s="5">
        <v>0</v>
      </c>
      <c r="T39" s="5">
        <v>0</v>
      </c>
      <c r="U39" s="5">
        <v>0</v>
      </c>
      <c r="V39" s="5">
        <v>1</v>
      </c>
      <c r="W39" s="5">
        <v>0</v>
      </c>
      <c r="X39" s="18">
        <v>0</v>
      </c>
      <c r="Y39" s="18">
        <v>0</v>
      </c>
      <c r="Z39" s="17">
        <v>1</v>
      </c>
      <c r="AA39" s="18">
        <v>0</v>
      </c>
      <c r="AB39" s="17">
        <v>1</v>
      </c>
      <c r="AC39" s="18">
        <v>0</v>
      </c>
      <c r="AD39" s="17">
        <v>1</v>
      </c>
      <c r="AE39" s="18">
        <v>0</v>
      </c>
      <c r="AF39" s="18">
        <v>0</v>
      </c>
      <c r="AG39" s="18">
        <v>0</v>
      </c>
      <c r="AH39">
        <f t="shared" si="0"/>
        <v>5</v>
      </c>
      <c r="AI39">
        <f t="shared" si="1"/>
        <v>1</v>
      </c>
      <c r="AJ39">
        <f t="shared" si="2"/>
        <v>1</v>
      </c>
      <c r="AK39">
        <f t="shared" si="3"/>
        <v>3</v>
      </c>
    </row>
    <row r="40" spans="1:37" ht="15" customHeight="1" thickBot="1">
      <c r="A40" s="4" t="s">
        <v>45</v>
      </c>
      <c r="B40" s="1" t="s">
        <v>38</v>
      </c>
      <c r="C40" s="14" t="s">
        <v>0</v>
      </c>
      <c r="D40" s="5">
        <v>1</v>
      </c>
      <c r="E40" s="5">
        <v>1</v>
      </c>
      <c r="F40" s="5">
        <v>0</v>
      </c>
      <c r="G40" s="5">
        <v>0</v>
      </c>
      <c r="H40" s="5">
        <v>1</v>
      </c>
      <c r="I40" s="5">
        <v>0</v>
      </c>
      <c r="J40" s="5">
        <v>0</v>
      </c>
      <c r="K40" s="5">
        <v>0</v>
      </c>
      <c r="L40" s="5">
        <v>1</v>
      </c>
      <c r="M40" s="5">
        <v>1</v>
      </c>
      <c r="N40" s="5">
        <v>0</v>
      </c>
      <c r="O40" s="5">
        <v>0</v>
      </c>
      <c r="P40" s="5">
        <v>0</v>
      </c>
      <c r="Q40" s="5">
        <v>0</v>
      </c>
      <c r="R40" s="5">
        <v>0</v>
      </c>
      <c r="S40" s="5">
        <v>1</v>
      </c>
      <c r="T40" s="5">
        <v>0</v>
      </c>
      <c r="U40" s="5">
        <v>0</v>
      </c>
      <c r="V40" s="5">
        <v>0</v>
      </c>
      <c r="W40" s="5">
        <v>0</v>
      </c>
      <c r="X40" s="17">
        <v>1</v>
      </c>
      <c r="Y40" s="18">
        <v>0</v>
      </c>
      <c r="Z40" s="18">
        <v>0</v>
      </c>
      <c r="AA40" s="18">
        <v>0</v>
      </c>
      <c r="AB40" s="18">
        <v>0</v>
      </c>
      <c r="AC40" s="17">
        <v>1</v>
      </c>
      <c r="AD40" s="18">
        <v>0</v>
      </c>
      <c r="AE40" s="18">
        <v>0</v>
      </c>
      <c r="AF40" s="18">
        <v>0</v>
      </c>
      <c r="AG40" s="18">
        <v>0</v>
      </c>
      <c r="AH40">
        <f t="shared" si="0"/>
        <v>8</v>
      </c>
      <c r="AI40">
        <f t="shared" si="1"/>
        <v>5</v>
      </c>
      <c r="AJ40">
        <f t="shared" si="2"/>
        <v>1</v>
      </c>
      <c r="AK40">
        <f t="shared" si="3"/>
        <v>2</v>
      </c>
    </row>
    <row r="41" spans="1:37" ht="15" customHeight="1" thickBot="1">
      <c r="A41" s="4" t="s">
        <v>46</v>
      </c>
      <c r="B41" s="1" t="s">
        <v>38</v>
      </c>
      <c r="C41" s="14" t="s">
        <v>0</v>
      </c>
      <c r="D41" s="7">
        <v>0</v>
      </c>
      <c r="E41" s="5">
        <v>1</v>
      </c>
      <c r="F41" s="5">
        <v>0</v>
      </c>
      <c r="G41" s="5">
        <v>1</v>
      </c>
      <c r="H41" s="5">
        <v>1</v>
      </c>
      <c r="I41" s="5">
        <v>0</v>
      </c>
      <c r="J41" s="5">
        <v>0</v>
      </c>
      <c r="K41" s="5">
        <v>0</v>
      </c>
      <c r="L41" s="5">
        <v>0</v>
      </c>
      <c r="M41" s="5">
        <v>0</v>
      </c>
      <c r="N41" s="5">
        <v>0</v>
      </c>
      <c r="O41" s="5">
        <v>0</v>
      </c>
      <c r="P41" s="5">
        <v>0</v>
      </c>
      <c r="Q41" s="5">
        <v>0</v>
      </c>
      <c r="R41" s="5">
        <v>0</v>
      </c>
      <c r="S41" s="5">
        <v>0</v>
      </c>
      <c r="T41" s="5">
        <v>0</v>
      </c>
      <c r="U41" s="5">
        <v>0</v>
      </c>
      <c r="V41" s="5">
        <v>0</v>
      </c>
      <c r="W41" s="5">
        <v>0</v>
      </c>
      <c r="X41" s="18">
        <v>0</v>
      </c>
      <c r="Y41" s="17">
        <v>1</v>
      </c>
      <c r="Z41" s="17">
        <v>1</v>
      </c>
      <c r="AA41" s="17">
        <v>1</v>
      </c>
      <c r="AB41" s="18">
        <v>0</v>
      </c>
      <c r="AC41" s="18">
        <v>0</v>
      </c>
      <c r="AD41" s="17">
        <v>0</v>
      </c>
      <c r="AE41" s="18">
        <v>0</v>
      </c>
      <c r="AF41" s="18">
        <v>0</v>
      </c>
      <c r="AG41" s="18">
        <v>0</v>
      </c>
      <c r="AH41">
        <f t="shared" si="0"/>
        <v>6</v>
      </c>
      <c r="AI41">
        <f t="shared" si="1"/>
        <v>3</v>
      </c>
      <c r="AJ41">
        <f t="shared" si="2"/>
        <v>0</v>
      </c>
      <c r="AK41">
        <f t="shared" si="3"/>
        <v>3</v>
      </c>
    </row>
    <row r="42" spans="1:37" ht="15" customHeight="1" thickBot="1">
      <c r="A42" s="4" t="s">
        <v>47</v>
      </c>
      <c r="B42" s="1" t="s">
        <v>38</v>
      </c>
      <c r="C42" s="14" t="s">
        <v>0</v>
      </c>
      <c r="D42" s="5">
        <v>1</v>
      </c>
      <c r="E42" s="5">
        <v>0</v>
      </c>
      <c r="F42" s="5">
        <v>1</v>
      </c>
      <c r="G42" s="5">
        <v>0</v>
      </c>
      <c r="H42" s="5">
        <v>0</v>
      </c>
      <c r="I42" s="5">
        <v>0</v>
      </c>
      <c r="J42" s="5">
        <v>1</v>
      </c>
      <c r="K42" s="5">
        <v>0</v>
      </c>
      <c r="L42" s="5">
        <v>0</v>
      </c>
      <c r="M42" s="5">
        <v>1</v>
      </c>
      <c r="N42" s="5">
        <v>0</v>
      </c>
      <c r="O42" s="5">
        <v>0</v>
      </c>
      <c r="P42" s="5">
        <v>0</v>
      </c>
      <c r="Q42" s="5">
        <v>0</v>
      </c>
      <c r="R42" s="5">
        <v>0</v>
      </c>
      <c r="S42" s="5">
        <v>0</v>
      </c>
      <c r="T42" s="5">
        <v>0</v>
      </c>
      <c r="U42" s="5">
        <v>1</v>
      </c>
      <c r="V42" s="5">
        <v>0</v>
      </c>
      <c r="W42" s="5">
        <v>0</v>
      </c>
      <c r="X42" s="19">
        <v>0</v>
      </c>
      <c r="Y42" s="19">
        <v>0</v>
      </c>
      <c r="Z42" s="18">
        <v>0</v>
      </c>
      <c r="AA42" s="17">
        <v>1</v>
      </c>
      <c r="AB42" s="18">
        <v>0</v>
      </c>
      <c r="AC42" s="18">
        <v>0</v>
      </c>
      <c r="AD42" s="18">
        <v>0</v>
      </c>
      <c r="AE42" s="18">
        <v>0</v>
      </c>
      <c r="AF42" s="18">
        <v>0</v>
      </c>
      <c r="AG42" s="18">
        <v>0</v>
      </c>
      <c r="AH42">
        <f t="shared" si="0"/>
        <v>6</v>
      </c>
      <c r="AI42">
        <f t="shared" si="1"/>
        <v>4</v>
      </c>
      <c r="AJ42">
        <f t="shared" si="2"/>
        <v>1</v>
      </c>
      <c r="AK42">
        <f t="shared" si="3"/>
        <v>1</v>
      </c>
    </row>
    <row r="43" spans="1:37" ht="15" customHeight="1" thickBot="1">
      <c r="A43" s="4" t="s">
        <v>48</v>
      </c>
      <c r="B43" s="1" t="s">
        <v>38</v>
      </c>
      <c r="C43" s="14" t="s">
        <v>0</v>
      </c>
      <c r="D43" s="5">
        <v>0</v>
      </c>
      <c r="E43" s="5">
        <v>0</v>
      </c>
      <c r="F43" s="5">
        <v>0</v>
      </c>
      <c r="G43" s="5">
        <v>0</v>
      </c>
      <c r="H43" s="5">
        <v>0</v>
      </c>
      <c r="I43" s="5">
        <v>0</v>
      </c>
      <c r="J43" s="5">
        <v>0</v>
      </c>
      <c r="K43" s="5">
        <v>0</v>
      </c>
      <c r="L43" s="5">
        <v>0</v>
      </c>
      <c r="M43" s="5">
        <v>0</v>
      </c>
      <c r="N43" s="5">
        <v>1</v>
      </c>
      <c r="O43" s="5">
        <v>1</v>
      </c>
      <c r="P43" s="5">
        <v>0</v>
      </c>
      <c r="Q43" s="5">
        <v>0</v>
      </c>
      <c r="R43" s="5">
        <v>0</v>
      </c>
      <c r="S43" s="5">
        <v>0</v>
      </c>
      <c r="T43" s="5">
        <v>1</v>
      </c>
      <c r="U43" s="5">
        <v>0</v>
      </c>
      <c r="V43" s="5">
        <v>0</v>
      </c>
      <c r="W43" s="5">
        <v>0</v>
      </c>
      <c r="X43" s="18">
        <v>0</v>
      </c>
      <c r="Y43" s="18">
        <v>0</v>
      </c>
      <c r="Z43" s="18">
        <v>0</v>
      </c>
      <c r="AA43" s="18">
        <v>0</v>
      </c>
      <c r="AB43" s="17">
        <v>1</v>
      </c>
      <c r="AC43" s="18">
        <v>0</v>
      </c>
      <c r="AD43" s="18">
        <v>0</v>
      </c>
      <c r="AE43" s="18">
        <v>0</v>
      </c>
      <c r="AF43" s="18">
        <v>0</v>
      </c>
      <c r="AG43" s="18">
        <v>0</v>
      </c>
      <c r="AH43">
        <f t="shared" si="0"/>
        <v>4</v>
      </c>
      <c r="AI43">
        <f t="shared" si="1"/>
        <v>0</v>
      </c>
      <c r="AJ43">
        <f t="shared" si="2"/>
        <v>3</v>
      </c>
      <c r="AK43">
        <f t="shared" si="3"/>
        <v>1</v>
      </c>
    </row>
    <row r="44" spans="1:37" ht="15" customHeight="1" thickBot="1">
      <c r="A44" s="4" t="s">
        <v>49</v>
      </c>
      <c r="B44" s="1" t="s">
        <v>38</v>
      </c>
      <c r="C44" s="14" t="s">
        <v>0</v>
      </c>
      <c r="D44" s="5">
        <v>0</v>
      </c>
      <c r="E44" s="5">
        <v>0</v>
      </c>
      <c r="F44" s="5">
        <v>0</v>
      </c>
      <c r="G44" s="5">
        <v>0</v>
      </c>
      <c r="H44" s="5">
        <v>1</v>
      </c>
      <c r="I44" s="5">
        <v>0</v>
      </c>
      <c r="J44" s="5">
        <v>0</v>
      </c>
      <c r="K44" s="5">
        <v>0</v>
      </c>
      <c r="L44" s="5">
        <v>0</v>
      </c>
      <c r="M44" s="5">
        <v>0</v>
      </c>
      <c r="N44" s="5">
        <v>0</v>
      </c>
      <c r="O44" s="5">
        <v>0</v>
      </c>
      <c r="P44" s="5">
        <v>0</v>
      </c>
      <c r="Q44" s="5">
        <v>0</v>
      </c>
      <c r="R44" s="5">
        <v>0</v>
      </c>
      <c r="S44" s="5">
        <v>0</v>
      </c>
      <c r="T44" s="5">
        <v>0</v>
      </c>
      <c r="U44" s="5">
        <v>0</v>
      </c>
      <c r="V44" s="5">
        <v>0</v>
      </c>
      <c r="W44" s="5">
        <v>0</v>
      </c>
      <c r="X44" s="18">
        <v>0</v>
      </c>
      <c r="Y44" s="17">
        <v>1</v>
      </c>
      <c r="Z44" s="18">
        <v>0</v>
      </c>
      <c r="AA44" s="18">
        <v>0</v>
      </c>
      <c r="AB44" s="18">
        <v>0</v>
      </c>
      <c r="AC44" s="18">
        <v>0</v>
      </c>
      <c r="AD44" s="17">
        <v>1</v>
      </c>
      <c r="AE44" s="17">
        <v>1</v>
      </c>
      <c r="AF44" s="17">
        <v>1</v>
      </c>
      <c r="AG44" s="18">
        <v>0</v>
      </c>
      <c r="AH44">
        <f t="shared" si="0"/>
        <v>5</v>
      </c>
      <c r="AI44">
        <f t="shared" si="1"/>
        <v>1</v>
      </c>
      <c r="AJ44">
        <f t="shared" si="2"/>
        <v>0</v>
      </c>
      <c r="AK44">
        <f t="shared" si="3"/>
        <v>4</v>
      </c>
    </row>
    <row r="45" spans="1:37" ht="15" customHeight="1" thickBot="1">
      <c r="A45" s="4" t="s">
        <v>50</v>
      </c>
      <c r="B45" s="1" t="s">
        <v>38</v>
      </c>
      <c r="C45" s="14" t="s">
        <v>0</v>
      </c>
      <c r="D45" s="5">
        <v>0</v>
      </c>
      <c r="E45" s="5">
        <v>1</v>
      </c>
      <c r="F45" s="5">
        <v>0</v>
      </c>
      <c r="G45" s="5">
        <v>0</v>
      </c>
      <c r="H45" s="5">
        <v>0</v>
      </c>
      <c r="I45" s="5">
        <v>1</v>
      </c>
      <c r="J45" s="5">
        <v>0</v>
      </c>
      <c r="K45" s="5">
        <v>0</v>
      </c>
      <c r="L45" s="5">
        <v>0</v>
      </c>
      <c r="M45" s="5">
        <v>0</v>
      </c>
      <c r="N45" s="5">
        <v>0</v>
      </c>
      <c r="O45" s="5">
        <v>0</v>
      </c>
      <c r="P45" s="5">
        <v>0</v>
      </c>
      <c r="Q45" s="5">
        <v>0</v>
      </c>
      <c r="R45" s="5">
        <v>0</v>
      </c>
      <c r="S45" s="5">
        <v>1</v>
      </c>
      <c r="T45" s="5">
        <v>0</v>
      </c>
      <c r="U45" s="5">
        <v>0</v>
      </c>
      <c r="V45" s="5">
        <v>0</v>
      </c>
      <c r="W45" s="5">
        <v>0</v>
      </c>
      <c r="X45" s="17">
        <v>1</v>
      </c>
      <c r="Y45" s="17">
        <v>1</v>
      </c>
      <c r="Z45" s="18">
        <v>0</v>
      </c>
      <c r="AA45" s="18">
        <v>0</v>
      </c>
      <c r="AB45" s="17">
        <v>1</v>
      </c>
      <c r="AC45" s="18">
        <v>0</v>
      </c>
      <c r="AD45" s="18">
        <v>0</v>
      </c>
      <c r="AE45" s="18">
        <v>0</v>
      </c>
      <c r="AF45" s="18">
        <v>0</v>
      </c>
      <c r="AG45" s="18">
        <v>0</v>
      </c>
      <c r="AH45">
        <f t="shared" si="0"/>
        <v>6</v>
      </c>
      <c r="AI45">
        <f t="shared" si="1"/>
        <v>2</v>
      </c>
      <c r="AJ45">
        <f t="shared" si="2"/>
        <v>1</v>
      </c>
      <c r="AK45">
        <f t="shared" si="3"/>
        <v>3</v>
      </c>
    </row>
    <row r="46" spans="1:37" ht="15" customHeight="1" thickBot="1">
      <c r="A46" s="4" t="s">
        <v>52</v>
      </c>
      <c r="B46" s="1" t="s">
        <v>51</v>
      </c>
      <c r="C46" s="14" t="s">
        <v>0</v>
      </c>
      <c r="D46" s="5">
        <v>0</v>
      </c>
      <c r="E46" s="5">
        <v>0</v>
      </c>
      <c r="F46" s="5">
        <v>0</v>
      </c>
      <c r="G46" s="5">
        <v>0</v>
      </c>
      <c r="H46" s="5">
        <v>0</v>
      </c>
      <c r="I46" s="5">
        <v>0</v>
      </c>
      <c r="J46" s="5">
        <v>0</v>
      </c>
      <c r="K46" s="5">
        <v>0</v>
      </c>
      <c r="L46" s="5">
        <v>0</v>
      </c>
      <c r="M46" s="5">
        <v>0</v>
      </c>
      <c r="N46" s="5">
        <v>0</v>
      </c>
      <c r="O46" s="5">
        <v>0</v>
      </c>
      <c r="P46" s="5">
        <v>0</v>
      </c>
      <c r="Q46" s="5">
        <v>1</v>
      </c>
      <c r="R46" s="5">
        <v>0</v>
      </c>
      <c r="S46" s="5">
        <v>0</v>
      </c>
      <c r="T46" s="5">
        <v>0</v>
      </c>
      <c r="U46" s="5">
        <v>0</v>
      </c>
      <c r="V46" s="5">
        <v>0</v>
      </c>
      <c r="W46" s="5">
        <v>0</v>
      </c>
      <c r="X46" s="18">
        <v>0</v>
      </c>
      <c r="Y46" s="17">
        <v>1</v>
      </c>
      <c r="Z46" s="18">
        <v>0</v>
      </c>
      <c r="AA46" s="18">
        <v>0</v>
      </c>
      <c r="AB46" s="18">
        <v>0</v>
      </c>
      <c r="AC46" s="18">
        <v>0</v>
      </c>
      <c r="AD46" s="18">
        <v>0</v>
      </c>
      <c r="AE46" s="17">
        <v>1</v>
      </c>
      <c r="AF46" s="18">
        <v>0</v>
      </c>
      <c r="AG46" s="18">
        <v>0</v>
      </c>
      <c r="AH46">
        <f t="shared" si="0"/>
        <v>3</v>
      </c>
      <c r="AI46">
        <f t="shared" si="1"/>
        <v>0</v>
      </c>
      <c r="AJ46">
        <f t="shared" si="2"/>
        <v>1</v>
      </c>
      <c r="AK46">
        <f t="shared" si="3"/>
        <v>2</v>
      </c>
    </row>
    <row r="47" spans="1:37" ht="15" customHeight="1" thickBot="1">
      <c r="A47" s="4" t="s">
        <v>53</v>
      </c>
      <c r="B47" s="1" t="s">
        <v>51</v>
      </c>
      <c r="C47" s="14" t="s">
        <v>0</v>
      </c>
      <c r="D47" s="5">
        <v>0</v>
      </c>
      <c r="E47" s="5">
        <v>0</v>
      </c>
      <c r="F47" s="5">
        <v>0</v>
      </c>
      <c r="G47" s="5">
        <v>0</v>
      </c>
      <c r="H47" s="5">
        <v>0</v>
      </c>
      <c r="I47" s="5">
        <v>0</v>
      </c>
      <c r="J47" s="5">
        <v>0</v>
      </c>
      <c r="K47" s="5">
        <v>0</v>
      </c>
      <c r="L47" s="5">
        <v>0</v>
      </c>
      <c r="M47" s="5">
        <v>0</v>
      </c>
      <c r="N47" s="5">
        <v>0</v>
      </c>
      <c r="O47" s="5">
        <v>0</v>
      </c>
      <c r="P47" s="5">
        <v>0</v>
      </c>
      <c r="Q47" s="5">
        <v>0</v>
      </c>
      <c r="R47" s="5">
        <v>0</v>
      </c>
      <c r="S47" s="5">
        <v>0</v>
      </c>
      <c r="T47" s="5">
        <v>0</v>
      </c>
      <c r="U47" s="5">
        <v>1</v>
      </c>
      <c r="V47" s="5">
        <v>0</v>
      </c>
      <c r="W47" s="5">
        <v>1</v>
      </c>
      <c r="X47" s="17">
        <v>1</v>
      </c>
      <c r="Y47" s="18">
        <v>0</v>
      </c>
      <c r="Z47" s="17">
        <v>1</v>
      </c>
      <c r="AA47" s="18">
        <v>0</v>
      </c>
      <c r="AB47" s="20">
        <v>0</v>
      </c>
      <c r="AC47" s="18">
        <v>0</v>
      </c>
      <c r="AD47" s="18">
        <v>0</v>
      </c>
      <c r="AE47" s="18">
        <v>0</v>
      </c>
      <c r="AF47" s="18">
        <v>0</v>
      </c>
      <c r="AG47" s="18">
        <v>0</v>
      </c>
      <c r="AH47">
        <f t="shared" si="0"/>
        <v>4</v>
      </c>
      <c r="AI47">
        <f t="shared" si="1"/>
        <v>0</v>
      </c>
      <c r="AJ47">
        <f t="shared" si="2"/>
        <v>2</v>
      </c>
      <c r="AK47">
        <f t="shared" si="3"/>
        <v>2</v>
      </c>
    </row>
    <row r="48" spans="1:37" ht="15" customHeight="1" thickBot="1">
      <c r="A48" s="4" t="s">
        <v>54</v>
      </c>
      <c r="B48" s="1" t="s">
        <v>51</v>
      </c>
      <c r="C48" s="14" t="s">
        <v>0</v>
      </c>
      <c r="D48" s="5">
        <v>1</v>
      </c>
      <c r="E48" s="5">
        <v>0</v>
      </c>
      <c r="F48" s="5">
        <v>0</v>
      </c>
      <c r="G48" s="5">
        <v>0</v>
      </c>
      <c r="H48" s="5">
        <v>0</v>
      </c>
      <c r="I48" s="5">
        <v>0</v>
      </c>
      <c r="J48" s="5">
        <v>0</v>
      </c>
      <c r="K48" s="5">
        <v>0</v>
      </c>
      <c r="L48" s="5">
        <v>0</v>
      </c>
      <c r="M48" s="5">
        <v>1</v>
      </c>
      <c r="N48" s="5">
        <v>0</v>
      </c>
      <c r="O48" s="5">
        <v>0</v>
      </c>
      <c r="P48" s="5">
        <v>0</v>
      </c>
      <c r="Q48" s="5">
        <v>0</v>
      </c>
      <c r="R48" s="5">
        <v>0</v>
      </c>
      <c r="S48" s="5">
        <v>0</v>
      </c>
      <c r="T48" s="5">
        <v>0</v>
      </c>
      <c r="U48" s="5">
        <v>1</v>
      </c>
      <c r="V48" s="5">
        <v>1</v>
      </c>
      <c r="W48" s="5">
        <v>1</v>
      </c>
      <c r="X48" s="18">
        <v>0</v>
      </c>
      <c r="Y48" s="18">
        <v>0</v>
      </c>
      <c r="Z48" s="18">
        <v>0</v>
      </c>
      <c r="AA48" s="17">
        <v>1</v>
      </c>
      <c r="AB48" s="18">
        <v>0</v>
      </c>
      <c r="AC48" s="17">
        <v>1</v>
      </c>
      <c r="AD48" s="18">
        <v>0</v>
      </c>
      <c r="AE48" s="17">
        <v>0</v>
      </c>
      <c r="AF48" s="17">
        <v>1</v>
      </c>
      <c r="AG48" s="18">
        <v>0</v>
      </c>
      <c r="AH48">
        <f t="shared" si="0"/>
        <v>8</v>
      </c>
      <c r="AI48">
        <f t="shared" si="1"/>
        <v>2</v>
      </c>
      <c r="AJ48">
        <f t="shared" si="2"/>
        <v>3</v>
      </c>
      <c r="AK48">
        <f t="shared" si="3"/>
        <v>3</v>
      </c>
    </row>
    <row r="49" spans="1:37" ht="15" customHeight="1" thickBot="1">
      <c r="A49" s="4" t="s">
        <v>55</v>
      </c>
      <c r="B49" s="1" t="s">
        <v>51</v>
      </c>
      <c r="C49" s="14" t="s">
        <v>0</v>
      </c>
      <c r="D49" s="5">
        <v>0</v>
      </c>
      <c r="E49" s="5">
        <v>1</v>
      </c>
      <c r="F49" s="5">
        <v>0</v>
      </c>
      <c r="G49" s="5">
        <v>0</v>
      </c>
      <c r="H49" s="5">
        <v>0</v>
      </c>
      <c r="I49" s="5">
        <v>0</v>
      </c>
      <c r="J49" s="5">
        <v>0</v>
      </c>
      <c r="K49" s="5">
        <v>0</v>
      </c>
      <c r="L49" s="5">
        <v>0</v>
      </c>
      <c r="M49" s="5">
        <v>0</v>
      </c>
      <c r="N49" s="5">
        <v>1</v>
      </c>
      <c r="O49" s="5">
        <v>0</v>
      </c>
      <c r="P49" s="5">
        <v>0</v>
      </c>
      <c r="Q49" s="5">
        <v>0</v>
      </c>
      <c r="R49" s="5">
        <v>0</v>
      </c>
      <c r="S49" s="5">
        <v>0</v>
      </c>
      <c r="T49" s="5">
        <v>0</v>
      </c>
      <c r="U49" s="5">
        <v>0</v>
      </c>
      <c r="V49" s="5">
        <v>0</v>
      </c>
      <c r="W49" s="5">
        <v>0</v>
      </c>
      <c r="X49" s="19">
        <v>0</v>
      </c>
      <c r="Y49" s="19">
        <v>0</v>
      </c>
      <c r="Z49" s="18">
        <v>0</v>
      </c>
      <c r="AA49" s="18">
        <v>0</v>
      </c>
      <c r="AB49" s="18">
        <v>0</v>
      </c>
      <c r="AC49" s="17">
        <v>1</v>
      </c>
      <c r="AD49" s="18">
        <v>0</v>
      </c>
      <c r="AE49" s="18">
        <v>0</v>
      </c>
      <c r="AF49" s="17">
        <v>1</v>
      </c>
      <c r="AG49" s="18">
        <v>0</v>
      </c>
      <c r="AH49">
        <f t="shared" si="0"/>
        <v>4</v>
      </c>
      <c r="AI49">
        <f t="shared" si="1"/>
        <v>1</v>
      </c>
      <c r="AJ49">
        <f t="shared" si="2"/>
        <v>1</v>
      </c>
      <c r="AK49">
        <f t="shared" si="3"/>
        <v>2</v>
      </c>
    </row>
    <row r="50" spans="1:37" ht="15" customHeight="1" thickBot="1">
      <c r="A50" s="4" t="s">
        <v>56</v>
      </c>
      <c r="B50" s="1" t="s">
        <v>51</v>
      </c>
      <c r="C50" s="14" t="s">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1</v>
      </c>
      <c r="V50" s="5">
        <v>0</v>
      </c>
      <c r="W50" s="5">
        <v>0</v>
      </c>
      <c r="X50" s="18">
        <v>0</v>
      </c>
      <c r="Y50" s="18">
        <v>0</v>
      </c>
      <c r="Z50" s="18">
        <v>0</v>
      </c>
      <c r="AA50" s="18">
        <v>0</v>
      </c>
      <c r="AB50" s="18">
        <v>0</v>
      </c>
      <c r="AC50" s="18">
        <v>0</v>
      </c>
      <c r="AD50" s="18">
        <v>0</v>
      </c>
      <c r="AE50" s="18">
        <v>0</v>
      </c>
      <c r="AF50" s="17">
        <v>1</v>
      </c>
      <c r="AG50" s="18">
        <v>0</v>
      </c>
      <c r="AH50">
        <f t="shared" si="0"/>
        <v>2</v>
      </c>
      <c r="AI50">
        <f t="shared" si="1"/>
        <v>0</v>
      </c>
      <c r="AJ50">
        <f t="shared" si="2"/>
        <v>1</v>
      </c>
      <c r="AK50">
        <f t="shared" si="3"/>
        <v>1</v>
      </c>
    </row>
    <row r="51" spans="1:37" ht="15" customHeight="1" thickBot="1">
      <c r="A51" s="4" t="s">
        <v>57</v>
      </c>
      <c r="B51" s="1" t="s">
        <v>51</v>
      </c>
      <c r="C51" s="14" t="s">
        <v>0</v>
      </c>
      <c r="D51" s="5">
        <v>0</v>
      </c>
      <c r="E51" s="5">
        <v>0</v>
      </c>
      <c r="F51" s="5">
        <v>0</v>
      </c>
      <c r="G51" s="5">
        <v>0</v>
      </c>
      <c r="H51" s="5">
        <v>0</v>
      </c>
      <c r="I51" s="5">
        <v>0</v>
      </c>
      <c r="J51" s="5">
        <v>0</v>
      </c>
      <c r="K51" s="5">
        <v>0</v>
      </c>
      <c r="L51" s="5">
        <v>1</v>
      </c>
      <c r="M51" s="5">
        <v>0</v>
      </c>
      <c r="N51" s="5">
        <v>0</v>
      </c>
      <c r="O51" s="5">
        <v>0</v>
      </c>
      <c r="P51" s="5">
        <v>0</v>
      </c>
      <c r="Q51" s="5">
        <v>0</v>
      </c>
      <c r="R51" s="5">
        <v>0</v>
      </c>
      <c r="S51" s="5">
        <v>0</v>
      </c>
      <c r="T51" s="5">
        <v>0</v>
      </c>
      <c r="U51" s="5">
        <v>0</v>
      </c>
      <c r="V51" s="5">
        <v>0</v>
      </c>
      <c r="W51" s="5">
        <v>0</v>
      </c>
      <c r="X51" s="18">
        <v>0</v>
      </c>
      <c r="Y51" s="18">
        <v>0</v>
      </c>
      <c r="Z51" s="18">
        <v>0</v>
      </c>
      <c r="AA51" s="18">
        <v>0</v>
      </c>
      <c r="AB51" s="18">
        <v>0</v>
      </c>
      <c r="AC51" s="18">
        <v>0</v>
      </c>
      <c r="AD51" s="18">
        <v>0</v>
      </c>
      <c r="AE51" s="18">
        <v>0</v>
      </c>
      <c r="AF51" s="18">
        <v>0</v>
      </c>
      <c r="AG51" s="18">
        <v>0</v>
      </c>
      <c r="AH51">
        <f t="shared" si="0"/>
        <v>1</v>
      </c>
      <c r="AI51">
        <f t="shared" si="1"/>
        <v>1</v>
      </c>
      <c r="AJ51">
        <f t="shared" si="2"/>
        <v>0</v>
      </c>
      <c r="AK51">
        <f t="shared" si="3"/>
        <v>0</v>
      </c>
    </row>
    <row r="52" spans="1:37" ht="15" customHeight="1" thickBot="1">
      <c r="A52" s="4" t="s">
        <v>58</v>
      </c>
      <c r="B52" s="1" t="s">
        <v>51</v>
      </c>
      <c r="C52" s="14" t="s">
        <v>0</v>
      </c>
      <c r="D52" s="5">
        <v>0</v>
      </c>
      <c r="E52" s="5">
        <v>0</v>
      </c>
      <c r="F52" s="5">
        <v>0</v>
      </c>
      <c r="G52" s="5">
        <v>0</v>
      </c>
      <c r="H52" s="5">
        <v>0</v>
      </c>
      <c r="I52" s="5">
        <v>0</v>
      </c>
      <c r="J52" s="5">
        <v>0</v>
      </c>
      <c r="K52" s="5">
        <v>0</v>
      </c>
      <c r="L52" s="5">
        <v>0</v>
      </c>
      <c r="M52" s="5">
        <v>0</v>
      </c>
      <c r="N52" s="5">
        <v>0</v>
      </c>
      <c r="O52" s="5">
        <v>0</v>
      </c>
      <c r="P52" s="5">
        <v>0</v>
      </c>
      <c r="Q52" s="5">
        <v>0</v>
      </c>
      <c r="R52" s="5">
        <v>0</v>
      </c>
      <c r="S52" s="5">
        <v>0</v>
      </c>
      <c r="T52" s="5">
        <v>0</v>
      </c>
      <c r="U52" s="5">
        <v>1</v>
      </c>
      <c r="V52" s="5">
        <v>0</v>
      </c>
      <c r="W52" s="5">
        <v>0</v>
      </c>
      <c r="X52" s="18">
        <v>0</v>
      </c>
      <c r="Y52" s="17">
        <v>1</v>
      </c>
      <c r="Z52" s="18">
        <v>0</v>
      </c>
      <c r="AA52" s="17">
        <v>1</v>
      </c>
      <c r="AB52" s="18">
        <v>0</v>
      </c>
      <c r="AC52" s="18">
        <v>0</v>
      </c>
      <c r="AD52" s="18">
        <v>0</v>
      </c>
      <c r="AE52" s="18">
        <v>0</v>
      </c>
      <c r="AF52" s="17">
        <v>1</v>
      </c>
      <c r="AG52" s="18">
        <v>0</v>
      </c>
      <c r="AH52">
        <f t="shared" si="0"/>
        <v>4</v>
      </c>
      <c r="AI52">
        <f t="shared" si="1"/>
        <v>0</v>
      </c>
      <c r="AJ52">
        <f t="shared" si="2"/>
        <v>1</v>
      </c>
      <c r="AK52">
        <f t="shared" si="3"/>
        <v>3</v>
      </c>
    </row>
    <row r="53" spans="1:37" ht="15" customHeight="1" thickBot="1">
      <c r="A53" s="4" t="s">
        <v>59</v>
      </c>
      <c r="B53" s="1" t="s">
        <v>51</v>
      </c>
      <c r="C53" s="14" t="s">
        <v>0</v>
      </c>
      <c r="D53" s="5">
        <v>0</v>
      </c>
      <c r="E53" s="5">
        <v>0</v>
      </c>
      <c r="F53" s="5">
        <v>0</v>
      </c>
      <c r="G53" s="5">
        <v>0</v>
      </c>
      <c r="H53" s="5">
        <v>0</v>
      </c>
      <c r="I53" s="5">
        <v>1</v>
      </c>
      <c r="J53" s="5">
        <v>0</v>
      </c>
      <c r="K53" s="5">
        <v>0</v>
      </c>
      <c r="L53" s="5">
        <v>0</v>
      </c>
      <c r="M53" s="5">
        <v>0</v>
      </c>
      <c r="N53" s="5">
        <v>0</v>
      </c>
      <c r="O53" s="5">
        <v>0</v>
      </c>
      <c r="P53" s="5">
        <v>1</v>
      </c>
      <c r="Q53" s="5">
        <v>0</v>
      </c>
      <c r="R53" s="5">
        <v>0</v>
      </c>
      <c r="S53" s="5">
        <v>0</v>
      </c>
      <c r="T53" s="5">
        <v>0</v>
      </c>
      <c r="U53" s="5">
        <v>0</v>
      </c>
      <c r="V53" s="5">
        <v>0</v>
      </c>
      <c r="W53" s="5">
        <v>0</v>
      </c>
      <c r="X53" s="18">
        <v>0</v>
      </c>
      <c r="Y53" s="18">
        <v>0</v>
      </c>
      <c r="Z53" s="17">
        <v>1</v>
      </c>
      <c r="AA53" s="18">
        <v>0</v>
      </c>
      <c r="AB53" s="18">
        <v>0</v>
      </c>
      <c r="AC53" s="18">
        <v>0</v>
      </c>
      <c r="AD53" s="18">
        <v>0</v>
      </c>
      <c r="AE53" s="17">
        <v>1</v>
      </c>
      <c r="AF53" s="18">
        <v>0</v>
      </c>
      <c r="AG53" s="18">
        <v>0</v>
      </c>
      <c r="AH53">
        <f t="shared" si="0"/>
        <v>4</v>
      </c>
      <c r="AI53">
        <f t="shared" si="1"/>
        <v>1</v>
      </c>
      <c r="AJ53">
        <f t="shared" si="2"/>
        <v>1</v>
      </c>
      <c r="AK53">
        <f t="shared" si="3"/>
        <v>2</v>
      </c>
    </row>
    <row r="54" spans="1:37" ht="15" customHeight="1" thickBot="1">
      <c r="A54" s="4" t="s">
        <v>60</v>
      </c>
      <c r="B54" s="1" t="s">
        <v>51</v>
      </c>
      <c r="C54" s="14" t="s">
        <v>0</v>
      </c>
      <c r="D54" s="5">
        <v>0</v>
      </c>
      <c r="E54" s="5">
        <v>0</v>
      </c>
      <c r="F54" s="5">
        <v>0</v>
      </c>
      <c r="G54" s="5">
        <v>0</v>
      </c>
      <c r="H54" s="5">
        <v>0</v>
      </c>
      <c r="I54" s="5">
        <v>0</v>
      </c>
      <c r="J54" s="5">
        <v>0</v>
      </c>
      <c r="K54" s="5">
        <v>0</v>
      </c>
      <c r="L54" s="5">
        <v>0</v>
      </c>
      <c r="M54" s="5">
        <v>0</v>
      </c>
      <c r="N54" s="5">
        <v>1</v>
      </c>
      <c r="O54" s="5">
        <v>0</v>
      </c>
      <c r="P54" s="5">
        <v>0</v>
      </c>
      <c r="Q54" s="5">
        <v>0</v>
      </c>
      <c r="R54" s="5">
        <v>1</v>
      </c>
      <c r="S54" s="5">
        <v>0</v>
      </c>
      <c r="T54" s="5">
        <v>0</v>
      </c>
      <c r="U54" s="5">
        <v>0</v>
      </c>
      <c r="V54" s="5">
        <v>1</v>
      </c>
      <c r="W54" s="5">
        <v>0</v>
      </c>
      <c r="X54" s="18">
        <v>0</v>
      </c>
      <c r="Y54" s="18">
        <v>0</v>
      </c>
      <c r="Z54" s="18">
        <v>0</v>
      </c>
      <c r="AA54" s="18">
        <v>0</v>
      </c>
      <c r="AB54" s="18">
        <v>0</v>
      </c>
      <c r="AC54" s="18">
        <v>0</v>
      </c>
      <c r="AD54" s="17">
        <v>1</v>
      </c>
      <c r="AE54" s="18">
        <v>0</v>
      </c>
      <c r="AF54" s="18">
        <v>0</v>
      </c>
      <c r="AG54" s="18">
        <v>0</v>
      </c>
      <c r="AH54">
        <f t="shared" si="0"/>
        <v>4</v>
      </c>
      <c r="AI54">
        <f t="shared" si="1"/>
        <v>0</v>
      </c>
      <c r="AJ54">
        <f t="shared" si="2"/>
        <v>3</v>
      </c>
      <c r="AK54">
        <f t="shared" si="3"/>
        <v>1</v>
      </c>
    </row>
    <row r="55" spans="1:37" ht="15" customHeight="1" thickBot="1">
      <c r="A55" s="4" t="s">
        <v>61</v>
      </c>
      <c r="B55" s="1" t="s">
        <v>51</v>
      </c>
      <c r="C55" s="14" t="s">
        <v>0</v>
      </c>
      <c r="D55" s="5">
        <v>0</v>
      </c>
      <c r="E55" s="5">
        <v>0</v>
      </c>
      <c r="F55" s="5">
        <v>1</v>
      </c>
      <c r="G55" s="5">
        <v>0</v>
      </c>
      <c r="H55" s="5">
        <v>0</v>
      </c>
      <c r="I55" s="5">
        <v>0</v>
      </c>
      <c r="J55" s="5">
        <v>0</v>
      </c>
      <c r="K55" s="5">
        <v>0</v>
      </c>
      <c r="L55" s="5">
        <v>1</v>
      </c>
      <c r="M55" s="5">
        <v>0</v>
      </c>
      <c r="N55" s="5">
        <v>0</v>
      </c>
      <c r="O55" s="5">
        <v>1</v>
      </c>
      <c r="P55" s="5">
        <v>1</v>
      </c>
      <c r="Q55" s="5">
        <v>0</v>
      </c>
      <c r="R55" s="5">
        <v>1</v>
      </c>
      <c r="S55" s="5">
        <v>0</v>
      </c>
      <c r="T55" s="5">
        <v>0</v>
      </c>
      <c r="U55" s="5">
        <v>1</v>
      </c>
      <c r="V55" s="5">
        <v>1</v>
      </c>
      <c r="W55" s="5">
        <v>0</v>
      </c>
      <c r="X55" s="18">
        <v>0</v>
      </c>
      <c r="Y55" s="18">
        <v>0</v>
      </c>
      <c r="Z55" s="18">
        <v>0</v>
      </c>
      <c r="AA55" s="18">
        <v>0</v>
      </c>
      <c r="AB55" s="18">
        <v>0</v>
      </c>
      <c r="AC55" s="17">
        <v>1</v>
      </c>
      <c r="AD55" s="17">
        <v>1</v>
      </c>
      <c r="AE55" s="18">
        <v>0</v>
      </c>
      <c r="AF55" s="17">
        <v>1</v>
      </c>
      <c r="AG55" s="18">
        <v>0</v>
      </c>
      <c r="AH55">
        <f t="shared" si="0"/>
        <v>10</v>
      </c>
      <c r="AI55">
        <f t="shared" si="1"/>
        <v>2</v>
      </c>
      <c r="AJ55">
        <f t="shared" si="2"/>
        <v>5</v>
      </c>
      <c r="AK55">
        <f t="shared" si="3"/>
        <v>3</v>
      </c>
    </row>
    <row r="56" spans="1:37" ht="15" customHeight="1">
      <c r="A56" t="s">
        <v>148</v>
      </c>
      <c r="B56" t="s">
        <v>90</v>
      </c>
      <c r="C56" s="41" t="s">
        <v>200</v>
      </c>
      <c r="D56">
        <v>0</v>
      </c>
      <c r="E56">
        <v>0</v>
      </c>
      <c r="F56">
        <v>0</v>
      </c>
      <c r="G56">
        <v>0</v>
      </c>
      <c r="H56">
        <v>0</v>
      </c>
      <c r="I56">
        <v>1</v>
      </c>
      <c r="J56">
        <v>0</v>
      </c>
      <c r="K56">
        <v>0</v>
      </c>
      <c r="L56">
        <v>0</v>
      </c>
      <c r="M56">
        <v>0</v>
      </c>
      <c r="N56">
        <v>0</v>
      </c>
      <c r="O56">
        <v>0</v>
      </c>
      <c r="P56">
        <v>1</v>
      </c>
      <c r="Q56">
        <v>1</v>
      </c>
      <c r="R56">
        <v>0</v>
      </c>
      <c r="S56">
        <v>1</v>
      </c>
      <c r="T56">
        <v>1</v>
      </c>
      <c r="U56">
        <v>1</v>
      </c>
      <c r="V56">
        <v>0</v>
      </c>
      <c r="W56">
        <v>1</v>
      </c>
      <c r="X56">
        <v>0</v>
      </c>
      <c r="Y56">
        <v>0</v>
      </c>
      <c r="Z56">
        <v>1</v>
      </c>
      <c r="AA56">
        <v>1</v>
      </c>
      <c r="AB56">
        <v>1</v>
      </c>
      <c r="AC56">
        <v>0</v>
      </c>
      <c r="AD56">
        <v>1</v>
      </c>
      <c r="AE56">
        <v>1</v>
      </c>
      <c r="AF56">
        <v>0</v>
      </c>
      <c r="AG56">
        <v>0</v>
      </c>
      <c r="AH56">
        <f>SUM(D56:AG56)</f>
        <v>12</v>
      </c>
      <c r="AI56">
        <f>SUM(D56:M56)</f>
        <v>1</v>
      </c>
      <c r="AJ56">
        <f>SUM(N56:W56)</f>
        <v>6</v>
      </c>
      <c r="AK56">
        <f>SUM(X56:AG56)</f>
        <v>5</v>
      </c>
    </row>
    <row r="57" spans="1:37" ht="15" customHeight="1">
      <c r="A57" t="s">
        <v>149</v>
      </c>
      <c r="B57" t="s">
        <v>90</v>
      </c>
      <c r="C57" s="41" t="s">
        <v>200</v>
      </c>
      <c r="D57">
        <v>0</v>
      </c>
      <c r="E57">
        <v>1</v>
      </c>
      <c r="F57">
        <v>0</v>
      </c>
      <c r="G57">
        <v>0</v>
      </c>
      <c r="H57">
        <v>0</v>
      </c>
      <c r="I57">
        <v>0</v>
      </c>
      <c r="J57">
        <v>1</v>
      </c>
      <c r="K57">
        <v>1</v>
      </c>
      <c r="L57">
        <v>0</v>
      </c>
      <c r="M57">
        <v>1</v>
      </c>
      <c r="N57">
        <v>1</v>
      </c>
      <c r="O57">
        <v>0</v>
      </c>
      <c r="P57">
        <v>1</v>
      </c>
      <c r="Q57">
        <v>1</v>
      </c>
      <c r="R57">
        <v>1</v>
      </c>
      <c r="S57">
        <v>0</v>
      </c>
      <c r="T57">
        <v>1</v>
      </c>
      <c r="U57">
        <v>1</v>
      </c>
      <c r="V57">
        <v>1</v>
      </c>
      <c r="W57">
        <v>0</v>
      </c>
      <c r="X57">
        <v>0</v>
      </c>
      <c r="Y57">
        <v>0</v>
      </c>
      <c r="Z57">
        <v>0</v>
      </c>
      <c r="AA57">
        <v>1</v>
      </c>
      <c r="AB57">
        <v>1</v>
      </c>
      <c r="AC57">
        <v>0</v>
      </c>
      <c r="AD57">
        <v>1</v>
      </c>
      <c r="AE57">
        <v>0</v>
      </c>
      <c r="AF57">
        <v>0</v>
      </c>
      <c r="AG57">
        <v>0</v>
      </c>
      <c r="AH57">
        <f t="shared" ref="AH57:AH105" si="4">SUM(D57:AG57)</f>
        <v>14</v>
      </c>
      <c r="AI57">
        <f t="shared" ref="AI57:AI105" si="5">SUM(D57:M57)</f>
        <v>4</v>
      </c>
      <c r="AJ57">
        <f t="shared" ref="AJ57:AJ105" si="6">SUM(N57:W57)</f>
        <v>7</v>
      </c>
      <c r="AK57">
        <f t="shared" ref="AK57:AK105" si="7">SUM(X57:AG57)</f>
        <v>3</v>
      </c>
    </row>
    <row r="58" spans="1:37" ht="15" customHeight="1">
      <c r="A58" t="s">
        <v>150</v>
      </c>
      <c r="B58" t="s">
        <v>90</v>
      </c>
      <c r="C58" s="41" t="s">
        <v>200</v>
      </c>
      <c r="D58">
        <v>0</v>
      </c>
      <c r="E58">
        <v>0</v>
      </c>
      <c r="F58">
        <v>1</v>
      </c>
      <c r="G58">
        <v>1</v>
      </c>
      <c r="H58">
        <v>0</v>
      </c>
      <c r="I58">
        <v>0</v>
      </c>
      <c r="J58">
        <v>0</v>
      </c>
      <c r="K58">
        <v>1</v>
      </c>
      <c r="L58">
        <v>0</v>
      </c>
      <c r="M58">
        <v>1</v>
      </c>
      <c r="N58">
        <v>1</v>
      </c>
      <c r="O58">
        <v>1</v>
      </c>
      <c r="P58">
        <v>1</v>
      </c>
      <c r="Q58">
        <v>0</v>
      </c>
      <c r="R58">
        <v>1</v>
      </c>
      <c r="S58">
        <v>0</v>
      </c>
      <c r="T58">
        <v>1</v>
      </c>
      <c r="U58">
        <v>0</v>
      </c>
      <c r="V58">
        <v>1</v>
      </c>
      <c r="W58">
        <v>0</v>
      </c>
      <c r="X58">
        <v>0</v>
      </c>
      <c r="Y58">
        <v>0</v>
      </c>
      <c r="Z58">
        <v>0</v>
      </c>
      <c r="AA58">
        <v>0</v>
      </c>
      <c r="AB58">
        <v>0</v>
      </c>
      <c r="AC58">
        <v>0</v>
      </c>
      <c r="AD58">
        <v>1</v>
      </c>
      <c r="AE58">
        <v>1</v>
      </c>
      <c r="AF58">
        <v>1</v>
      </c>
      <c r="AG58">
        <v>1</v>
      </c>
      <c r="AH58">
        <f t="shared" si="4"/>
        <v>14</v>
      </c>
      <c r="AI58">
        <f t="shared" si="5"/>
        <v>4</v>
      </c>
      <c r="AJ58">
        <f t="shared" si="6"/>
        <v>6</v>
      </c>
      <c r="AK58">
        <f t="shared" si="7"/>
        <v>4</v>
      </c>
    </row>
    <row r="59" spans="1:37" ht="15" customHeight="1">
      <c r="A59" t="s">
        <v>151</v>
      </c>
      <c r="B59" t="s">
        <v>90</v>
      </c>
      <c r="C59" s="41" t="s">
        <v>200</v>
      </c>
      <c r="D59">
        <v>1</v>
      </c>
      <c r="E59">
        <v>1</v>
      </c>
      <c r="F59">
        <v>0</v>
      </c>
      <c r="G59">
        <v>0</v>
      </c>
      <c r="H59">
        <v>0</v>
      </c>
      <c r="I59">
        <v>1</v>
      </c>
      <c r="J59">
        <v>0</v>
      </c>
      <c r="K59">
        <v>0</v>
      </c>
      <c r="L59">
        <v>0</v>
      </c>
      <c r="M59">
        <v>0</v>
      </c>
      <c r="N59">
        <v>1</v>
      </c>
      <c r="O59">
        <v>1</v>
      </c>
      <c r="P59">
        <v>0</v>
      </c>
      <c r="Q59">
        <v>0</v>
      </c>
      <c r="R59">
        <v>0</v>
      </c>
      <c r="S59">
        <v>1</v>
      </c>
      <c r="T59">
        <v>0</v>
      </c>
      <c r="U59">
        <v>1</v>
      </c>
      <c r="V59">
        <v>1</v>
      </c>
      <c r="W59">
        <v>0</v>
      </c>
      <c r="X59">
        <v>0</v>
      </c>
      <c r="Y59">
        <v>0</v>
      </c>
      <c r="Z59">
        <v>1</v>
      </c>
      <c r="AA59">
        <v>1</v>
      </c>
      <c r="AB59">
        <v>1</v>
      </c>
      <c r="AC59">
        <v>0</v>
      </c>
      <c r="AD59">
        <v>1</v>
      </c>
      <c r="AE59">
        <v>0</v>
      </c>
      <c r="AF59">
        <v>0</v>
      </c>
      <c r="AG59">
        <v>0</v>
      </c>
      <c r="AH59">
        <f t="shared" si="4"/>
        <v>12</v>
      </c>
      <c r="AI59">
        <f t="shared" si="5"/>
        <v>3</v>
      </c>
      <c r="AJ59">
        <f t="shared" si="6"/>
        <v>5</v>
      </c>
      <c r="AK59">
        <f t="shared" si="7"/>
        <v>4</v>
      </c>
    </row>
    <row r="60" spans="1:37" ht="15" customHeight="1">
      <c r="A60" t="s">
        <v>152</v>
      </c>
      <c r="B60" t="s">
        <v>90</v>
      </c>
      <c r="C60" s="41" t="s">
        <v>200</v>
      </c>
      <c r="D60">
        <v>0</v>
      </c>
      <c r="E60">
        <v>0</v>
      </c>
      <c r="F60">
        <v>1</v>
      </c>
      <c r="G60">
        <v>0</v>
      </c>
      <c r="H60">
        <v>0</v>
      </c>
      <c r="I60">
        <v>1</v>
      </c>
      <c r="J60">
        <v>1</v>
      </c>
      <c r="K60">
        <v>0</v>
      </c>
      <c r="L60">
        <v>0</v>
      </c>
      <c r="M60">
        <v>0</v>
      </c>
      <c r="N60">
        <v>0</v>
      </c>
      <c r="O60">
        <v>1</v>
      </c>
      <c r="P60">
        <v>1</v>
      </c>
      <c r="Q60">
        <v>1</v>
      </c>
      <c r="R60">
        <v>1</v>
      </c>
      <c r="S60">
        <v>1</v>
      </c>
      <c r="T60">
        <v>0</v>
      </c>
      <c r="U60">
        <v>0</v>
      </c>
      <c r="V60">
        <v>1</v>
      </c>
      <c r="W60">
        <v>0</v>
      </c>
      <c r="X60">
        <v>0</v>
      </c>
      <c r="Y60">
        <v>0</v>
      </c>
      <c r="Z60">
        <v>0</v>
      </c>
      <c r="AA60">
        <v>0</v>
      </c>
      <c r="AB60">
        <v>0</v>
      </c>
      <c r="AC60">
        <v>1</v>
      </c>
      <c r="AD60">
        <v>0</v>
      </c>
      <c r="AE60">
        <v>0</v>
      </c>
      <c r="AF60">
        <v>0</v>
      </c>
      <c r="AG60">
        <v>0</v>
      </c>
      <c r="AH60">
        <f t="shared" si="4"/>
        <v>10</v>
      </c>
      <c r="AI60">
        <f t="shared" si="5"/>
        <v>3</v>
      </c>
      <c r="AJ60">
        <f t="shared" si="6"/>
        <v>6</v>
      </c>
      <c r="AK60">
        <f t="shared" si="7"/>
        <v>1</v>
      </c>
    </row>
    <row r="61" spans="1:37" ht="15" customHeight="1">
      <c r="A61" t="s">
        <v>153</v>
      </c>
      <c r="B61" t="s">
        <v>90</v>
      </c>
      <c r="C61" s="41" t="s">
        <v>200</v>
      </c>
      <c r="D61">
        <v>0</v>
      </c>
      <c r="E61">
        <v>0</v>
      </c>
      <c r="F61">
        <v>0</v>
      </c>
      <c r="G61">
        <v>1</v>
      </c>
      <c r="H61">
        <v>1</v>
      </c>
      <c r="I61">
        <v>1</v>
      </c>
      <c r="J61">
        <v>0</v>
      </c>
      <c r="K61">
        <v>1</v>
      </c>
      <c r="L61">
        <v>0</v>
      </c>
      <c r="M61">
        <v>0</v>
      </c>
      <c r="N61">
        <v>0</v>
      </c>
      <c r="O61">
        <v>0</v>
      </c>
      <c r="P61">
        <v>0</v>
      </c>
      <c r="Q61">
        <v>0</v>
      </c>
      <c r="R61">
        <v>0</v>
      </c>
      <c r="S61">
        <v>0</v>
      </c>
      <c r="T61">
        <v>0</v>
      </c>
      <c r="U61">
        <v>0</v>
      </c>
      <c r="V61">
        <v>0</v>
      </c>
      <c r="W61">
        <v>0</v>
      </c>
      <c r="X61">
        <v>1</v>
      </c>
      <c r="Y61">
        <v>1</v>
      </c>
      <c r="Z61">
        <v>1</v>
      </c>
      <c r="AA61">
        <v>1</v>
      </c>
      <c r="AB61">
        <v>0</v>
      </c>
      <c r="AC61">
        <v>0</v>
      </c>
      <c r="AD61">
        <v>0</v>
      </c>
      <c r="AE61">
        <v>0</v>
      </c>
      <c r="AF61">
        <v>1</v>
      </c>
      <c r="AG61">
        <v>1</v>
      </c>
      <c r="AH61">
        <f t="shared" si="4"/>
        <v>10</v>
      </c>
      <c r="AI61">
        <f t="shared" si="5"/>
        <v>4</v>
      </c>
      <c r="AJ61">
        <f t="shared" si="6"/>
        <v>0</v>
      </c>
      <c r="AK61">
        <f t="shared" si="7"/>
        <v>6</v>
      </c>
    </row>
    <row r="62" spans="1:37" ht="15" customHeight="1">
      <c r="A62" t="s">
        <v>154</v>
      </c>
      <c r="B62" t="s">
        <v>90</v>
      </c>
      <c r="C62" s="41" t="s">
        <v>200</v>
      </c>
      <c r="D62">
        <v>1</v>
      </c>
      <c r="E62">
        <v>0</v>
      </c>
      <c r="F62">
        <v>0</v>
      </c>
      <c r="G62">
        <v>1</v>
      </c>
      <c r="H62">
        <v>0</v>
      </c>
      <c r="I62">
        <v>0</v>
      </c>
      <c r="J62">
        <v>0</v>
      </c>
      <c r="K62">
        <v>0</v>
      </c>
      <c r="L62">
        <v>0</v>
      </c>
      <c r="M62">
        <v>1</v>
      </c>
      <c r="N62">
        <v>1</v>
      </c>
      <c r="O62">
        <v>0</v>
      </c>
      <c r="P62">
        <v>0</v>
      </c>
      <c r="Q62">
        <v>1</v>
      </c>
      <c r="R62">
        <v>1</v>
      </c>
      <c r="S62">
        <v>0</v>
      </c>
      <c r="T62">
        <v>1</v>
      </c>
      <c r="U62">
        <v>1</v>
      </c>
      <c r="V62">
        <v>0</v>
      </c>
      <c r="W62">
        <v>0</v>
      </c>
      <c r="X62">
        <v>1</v>
      </c>
      <c r="Y62">
        <v>0</v>
      </c>
      <c r="Z62">
        <v>0</v>
      </c>
      <c r="AA62">
        <v>0</v>
      </c>
      <c r="AB62">
        <v>0</v>
      </c>
      <c r="AC62">
        <v>0</v>
      </c>
      <c r="AD62">
        <v>0</v>
      </c>
      <c r="AE62">
        <v>0</v>
      </c>
      <c r="AF62">
        <v>0</v>
      </c>
      <c r="AG62">
        <v>0</v>
      </c>
      <c r="AH62">
        <f t="shared" si="4"/>
        <v>9</v>
      </c>
      <c r="AI62">
        <f t="shared" si="5"/>
        <v>3</v>
      </c>
      <c r="AJ62">
        <f t="shared" si="6"/>
        <v>5</v>
      </c>
      <c r="AK62">
        <f t="shared" si="7"/>
        <v>1</v>
      </c>
    </row>
    <row r="63" spans="1:37" ht="15" customHeight="1">
      <c r="A63" t="s">
        <v>155</v>
      </c>
      <c r="B63" t="s">
        <v>90</v>
      </c>
      <c r="C63" s="41" t="s">
        <v>200</v>
      </c>
      <c r="D63">
        <v>1</v>
      </c>
      <c r="E63">
        <v>1</v>
      </c>
      <c r="F63">
        <v>0</v>
      </c>
      <c r="G63">
        <v>1</v>
      </c>
      <c r="H63">
        <v>1</v>
      </c>
      <c r="I63">
        <v>0</v>
      </c>
      <c r="J63">
        <v>0</v>
      </c>
      <c r="K63">
        <v>1</v>
      </c>
      <c r="L63">
        <v>1</v>
      </c>
      <c r="M63">
        <v>0</v>
      </c>
      <c r="N63">
        <v>0</v>
      </c>
      <c r="O63">
        <v>0</v>
      </c>
      <c r="P63">
        <v>0</v>
      </c>
      <c r="Q63">
        <v>1</v>
      </c>
      <c r="R63">
        <v>0</v>
      </c>
      <c r="S63">
        <v>0</v>
      </c>
      <c r="T63">
        <v>0</v>
      </c>
      <c r="U63">
        <v>0</v>
      </c>
      <c r="V63">
        <v>1</v>
      </c>
      <c r="W63">
        <v>0</v>
      </c>
      <c r="X63">
        <v>1</v>
      </c>
      <c r="Y63">
        <v>0</v>
      </c>
      <c r="Z63">
        <v>0</v>
      </c>
      <c r="AA63">
        <v>1</v>
      </c>
      <c r="AB63">
        <v>1</v>
      </c>
      <c r="AC63">
        <v>1</v>
      </c>
      <c r="AD63">
        <v>0</v>
      </c>
      <c r="AE63">
        <v>1</v>
      </c>
      <c r="AF63">
        <v>0</v>
      </c>
      <c r="AG63">
        <v>1</v>
      </c>
      <c r="AH63">
        <f t="shared" si="4"/>
        <v>14</v>
      </c>
      <c r="AI63">
        <f t="shared" si="5"/>
        <v>6</v>
      </c>
      <c r="AJ63">
        <f t="shared" si="6"/>
        <v>2</v>
      </c>
      <c r="AK63">
        <f t="shared" si="7"/>
        <v>6</v>
      </c>
    </row>
    <row r="64" spans="1:37" ht="15" customHeight="1">
      <c r="A64" t="s">
        <v>156</v>
      </c>
      <c r="B64" t="s">
        <v>90</v>
      </c>
      <c r="C64" s="41" t="s">
        <v>200</v>
      </c>
      <c r="D64">
        <v>0</v>
      </c>
      <c r="E64">
        <v>1</v>
      </c>
      <c r="F64">
        <v>0</v>
      </c>
      <c r="G64">
        <v>1</v>
      </c>
      <c r="H64">
        <v>1</v>
      </c>
      <c r="I64">
        <v>0</v>
      </c>
      <c r="J64">
        <v>1</v>
      </c>
      <c r="K64">
        <v>0</v>
      </c>
      <c r="L64">
        <v>0</v>
      </c>
      <c r="M64">
        <v>0</v>
      </c>
      <c r="N64">
        <v>0</v>
      </c>
      <c r="O64">
        <v>0</v>
      </c>
      <c r="P64">
        <v>0</v>
      </c>
      <c r="Q64">
        <v>0</v>
      </c>
      <c r="R64">
        <v>0</v>
      </c>
      <c r="S64">
        <v>1</v>
      </c>
      <c r="T64">
        <v>0</v>
      </c>
      <c r="U64">
        <v>0</v>
      </c>
      <c r="V64">
        <v>0</v>
      </c>
      <c r="W64">
        <v>0</v>
      </c>
      <c r="X64">
        <v>0</v>
      </c>
      <c r="Y64">
        <v>1</v>
      </c>
      <c r="Z64">
        <v>0</v>
      </c>
      <c r="AA64">
        <v>0</v>
      </c>
      <c r="AB64">
        <v>1</v>
      </c>
      <c r="AC64">
        <v>0</v>
      </c>
      <c r="AD64">
        <v>1</v>
      </c>
      <c r="AE64">
        <v>1</v>
      </c>
      <c r="AF64">
        <v>0</v>
      </c>
      <c r="AG64">
        <v>1</v>
      </c>
      <c r="AH64">
        <f t="shared" si="4"/>
        <v>10</v>
      </c>
      <c r="AI64">
        <f t="shared" si="5"/>
        <v>4</v>
      </c>
      <c r="AJ64">
        <f t="shared" si="6"/>
        <v>1</v>
      </c>
      <c r="AK64">
        <f t="shared" si="7"/>
        <v>5</v>
      </c>
    </row>
    <row r="65" spans="1:37" ht="15" customHeight="1">
      <c r="A65" t="s">
        <v>157</v>
      </c>
      <c r="B65" t="s">
        <v>90</v>
      </c>
      <c r="C65" s="41" t="s">
        <v>200</v>
      </c>
      <c r="D65">
        <v>0</v>
      </c>
      <c r="E65">
        <v>1</v>
      </c>
      <c r="F65">
        <v>1</v>
      </c>
      <c r="G65">
        <v>0</v>
      </c>
      <c r="H65">
        <v>0</v>
      </c>
      <c r="I65">
        <v>1</v>
      </c>
      <c r="J65">
        <v>1</v>
      </c>
      <c r="K65">
        <v>1</v>
      </c>
      <c r="L65">
        <v>0</v>
      </c>
      <c r="M65">
        <v>0</v>
      </c>
      <c r="N65">
        <v>1</v>
      </c>
      <c r="O65">
        <v>0</v>
      </c>
      <c r="P65">
        <v>0</v>
      </c>
      <c r="Q65">
        <v>1</v>
      </c>
      <c r="R65">
        <v>0</v>
      </c>
      <c r="S65">
        <v>0</v>
      </c>
      <c r="T65">
        <v>1</v>
      </c>
      <c r="U65">
        <v>0</v>
      </c>
      <c r="V65">
        <v>0</v>
      </c>
      <c r="W65">
        <v>0</v>
      </c>
      <c r="X65">
        <v>1</v>
      </c>
      <c r="Y65">
        <v>0</v>
      </c>
      <c r="Z65">
        <v>0</v>
      </c>
      <c r="AA65">
        <v>1</v>
      </c>
      <c r="AB65">
        <v>1</v>
      </c>
      <c r="AC65">
        <v>0</v>
      </c>
      <c r="AD65">
        <v>0</v>
      </c>
      <c r="AE65">
        <v>0</v>
      </c>
      <c r="AF65">
        <v>1</v>
      </c>
      <c r="AG65">
        <v>1</v>
      </c>
      <c r="AH65">
        <f t="shared" si="4"/>
        <v>13</v>
      </c>
      <c r="AI65">
        <f t="shared" si="5"/>
        <v>5</v>
      </c>
      <c r="AJ65">
        <f t="shared" si="6"/>
        <v>3</v>
      </c>
      <c r="AK65">
        <f t="shared" si="7"/>
        <v>5</v>
      </c>
    </row>
    <row r="66" spans="1:37" ht="15" customHeight="1">
      <c r="A66" t="s">
        <v>158</v>
      </c>
      <c r="B66" t="s">
        <v>91</v>
      </c>
      <c r="C66" s="41" t="s">
        <v>200</v>
      </c>
      <c r="D66">
        <v>1</v>
      </c>
      <c r="E66">
        <v>0</v>
      </c>
      <c r="F66">
        <v>0</v>
      </c>
      <c r="G66">
        <v>1</v>
      </c>
      <c r="H66">
        <v>0</v>
      </c>
      <c r="I66">
        <v>0</v>
      </c>
      <c r="J66">
        <v>1</v>
      </c>
      <c r="K66">
        <v>0</v>
      </c>
      <c r="L66">
        <v>0</v>
      </c>
      <c r="M66">
        <v>0</v>
      </c>
      <c r="N66">
        <v>1</v>
      </c>
      <c r="O66">
        <v>0</v>
      </c>
      <c r="P66">
        <v>1</v>
      </c>
      <c r="Q66">
        <v>1</v>
      </c>
      <c r="R66">
        <v>0</v>
      </c>
      <c r="S66">
        <v>1</v>
      </c>
      <c r="T66">
        <v>0</v>
      </c>
      <c r="U66">
        <v>0</v>
      </c>
      <c r="V66">
        <v>1</v>
      </c>
      <c r="W66">
        <v>1</v>
      </c>
      <c r="X66">
        <v>0</v>
      </c>
      <c r="Y66">
        <v>0</v>
      </c>
      <c r="Z66">
        <v>1</v>
      </c>
      <c r="AA66">
        <v>1</v>
      </c>
      <c r="AB66">
        <v>0</v>
      </c>
      <c r="AC66">
        <v>1</v>
      </c>
      <c r="AD66">
        <v>1</v>
      </c>
      <c r="AE66">
        <v>0</v>
      </c>
      <c r="AF66">
        <v>1</v>
      </c>
      <c r="AG66">
        <v>1</v>
      </c>
      <c r="AH66">
        <f t="shared" si="4"/>
        <v>15</v>
      </c>
      <c r="AI66">
        <f t="shared" si="5"/>
        <v>3</v>
      </c>
      <c r="AJ66">
        <f t="shared" si="6"/>
        <v>6</v>
      </c>
      <c r="AK66">
        <f t="shared" si="7"/>
        <v>6</v>
      </c>
    </row>
    <row r="67" spans="1:37" ht="15" customHeight="1">
      <c r="A67" t="s">
        <v>159</v>
      </c>
      <c r="B67" t="s">
        <v>91</v>
      </c>
      <c r="C67" s="41" t="s">
        <v>200</v>
      </c>
      <c r="D67">
        <v>1</v>
      </c>
      <c r="E67">
        <v>0</v>
      </c>
      <c r="F67">
        <v>1</v>
      </c>
      <c r="G67">
        <v>0</v>
      </c>
      <c r="H67">
        <v>1</v>
      </c>
      <c r="I67">
        <v>1</v>
      </c>
      <c r="J67">
        <v>1</v>
      </c>
      <c r="K67">
        <v>0</v>
      </c>
      <c r="L67">
        <v>0</v>
      </c>
      <c r="M67">
        <v>1</v>
      </c>
      <c r="N67">
        <v>0</v>
      </c>
      <c r="O67">
        <v>1</v>
      </c>
      <c r="P67">
        <v>0</v>
      </c>
      <c r="Q67">
        <v>0</v>
      </c>
      <c r="R67">
        <v>1</v>
      </c>
      <c r="S67">
        <v>0</v>
      </c>
      <c r="T67">
        <v>1</v>
      </c>
      <c r="U67">
        <v>0</v>
      </c>
      <c r="V67">
        <v>1</v>
      </c>
      <c r="W67">
        <v>0</v>
      </c>
      <c r="X67">
        <v>0</v>
      </c>
      <c r="Y67">
        <v>1</v>
      </c>
      <c r="Z67">
        <v>1</v>
      </c>
      <c r="AA67">
        <v>1</v>
      </c>
      <c r="AB67">
        <v>0</v>
      </c>
      <c r="AC67">
        <v>1</v>
      </c>
      <c r="AD67">
        <v>0</v>
      </c>
      <c r="AE67">
        <v>0</v>
      </c>
      <c r="AF67">
        <v>1</v>
      </c>
      <c r="AG67">
        <v>0</v>
      </c>
      <c r="AH67">
        <f t="shared" si="4"/>
        <v>15</v>
      </c>
      <c r="AI67">
        <f t="shared" si="5"/>
        <v>6</v>
      </c>
      <c r="AJ67">
        <f t="shared" si="6"/>
        <v>4</v>
      </c>
      <c r="AK67">
        <f t="shared" si="7"/>
        <v>5</v>
      </c>
    </row>
    <row r="68" spans="1:37" ht="15" customHeight="1">
      <c r="A68" t="s">
        <v>160</v>
      </c>
      <c r="B68" t="s">
        <v>91</v>
      </c>
      <c r="C68" s="41" t="s">
        <v>200</v>
      </c>
      <c r="D68">
        <v>1</v>
      </c>
      <c r="E68">
        <v>1</v>
      </c>
      <c r="F68">
        <v>0</v>
      </c>
      <c r="G68">
        <v>1</v>
      </c>
      <c r="H68">
        <v>0</v>
      </c>
      <c r="I68">
        <v>0</v>
      </c>
      <c r="J68">
        <v>0</v>
      </c>
      <c r="K68">
        <v>1</v>
      </c>
      <c r="L68">
        <v>1</v>
      </c>
      <c r="M68">
        <v>0</v>
      </c>
      <c r="N68">
        <v>1</v>
      </c>
      <c r="O68">
        <v>0</v>
      </c>
      <c r="P68">
        <v>0</v>
      </c>
      <c r="Q68">
        <v>1</v>
      </c>
      <c r="R68">
        <v>0</v>
      </c>
      <c r="S68">
        <v>0</v>
      </c>
      <c r="T68">
        <v>1</v>
      </c>
      <c r="U68">
        <v>0</v>
      </c>
      <c r="V68">
        <v>0</v>
      </c>
      <c r="W68">
        <v>1</v>
      </c>
      <c r="X68">
        <v>0</v>
      </c>
      <c r="Y68">
        <v>1</v>
      </c>
      <c r="Z68">
        <v>0</v>
      </c>
      <c r="AA68">
        <v>0</v>
      </c>
      <c r="AB68">
        <v>0</v>
      </c>
      <c r="AC68">
        <v>1</v>
      </c>
      <c r="AD68">
        <v>1</v>
      </c>
      <c r="AE68">
        <v>1</v>
      </c>
      <c r="AF68">
        <v>1</v>
      </c>
      <c r="AG68">
        <v>1</v>
      </c>
      <c r="AH68">
        <f t="shared" si="4"/>
        <v>15</v>
      </c>
      <c r="AI68">
        <f t="shared" si="5"/>
        <v>5</v>
      </c>
      <c r="AJ68">
        <f t="shared" si="6"/>
        <v>4</v>
      </c>
      <c r="AK68">
        <f t="shared" si="7"/>
        <v>6</v>
      </c>
    </row>
    <row r="69" spans="1:37" ht="15" customHeight="1">
      <c r="A69" t="s">
        <v>161</v>
      </c>
      <c r="B69" t="s">
        <v>91</v>
      </c>
      <c r="C69" s="41" t="s">
        <v>200</v>
      </c>
      <c r="D69">
        <v>0</v>
      </c>
      <c r="E69">
        <v>0</v>
      </c>
      <c r="F69">
        <v>1</v>
      </c>
      <c r="G69">
        <v>1</v>
      </c>
      <c r="H69">
        <v>0</v>
      </c>
      <c r="I69">
        <v>1</v>
      </c>
      <c r="J69">
        <v>0</v>
      </c>
      <c r="K69">
        <v>1</v>
      </c>
      <c r="L69">
        <v>0</v>
      </c>
      <c r="M69">
        <v>1</v>
      </c>
      <c r="N69">
        <v>1</v>
      </c>
      <c r="O69">
        <v>0</v>
      </c>
      <c r="P69">
        <v>0</v>
      </c>
      <c r="Q69">
        <v>1</v>
      </c>
      <c r="R69">
        <v>1</v>
      </c>
      <c r="S69">
        <v>0</v>
      </c>
      <c r="T69">
        <v>1</v>
      </c>
      <c r="U69">
        <v>1</v>
      </c>
      <c r="V69">
        <v>1</v>
      </c>
      <c r="W69">
        <v>0</v>
      </c>
      <c r="X69">
        <v>1</v>
      </c>
      <c r="Y69">
        <v>0</v>
      </c>
      <c r="Z69">
        <v>0</v>
      </c>
      <c r="AA69">
        <v>0</v>
      </c>
      <c r="AB69">
        <v>1</v>
      </c>
      <c r="AC69">
        <v>0</v>
      </c>
      <c r="AD69">
        <v>0</v>
      </c>
      <c r="AE69">
        <v>0</v>
      </c>
      <c r="AF69">
        <v>0</v>
      </c>
      <c r="AG69">
        <v>1</v>
      </c>
      <c r="AH69">
        <f t="shared" si="4"/>
        <v>14</v>
      </c>
      <c r="AI69">
        <f t="shared" si="5"/>
        <v>5</v>
      </c>
      <c r="AJ69">
        <f t="shared" si="6"/>
        <v>6</v>
      </c>
      <c r="AK69">
        <f t="shared" si="7"/>
        <v>3</v>
      </c>
    </row>
    <row r="70" spans="1:37" ht="15" customHeight="1">
      <c r="A70" t="s">
        <v>162</v>
      </c>
      <c r="B70" t="s">
        <v>91</v>
      </c>
      <c r="C70" s="41" t="s">
        <v>200</v>
      </c>
      <c r="D70">
        <v>1</v>
      </c>
      <c r="E70">
        <v>0</v>
      </c>
      <c r="F70">
        <v>0</v>
      </c>
      <c r="G70">
        <v>1</v>
      </c>
      <c r="H70">
        <v>0</v>
      </c>
      <c r="I70">
        <v>0</v>
      </c>
      <c r="J70">
        <v>0</v>
      </c>
      <c r="K70">
        <v>1</v>
      </c>
      <c r="L70">
        <v>0</v>
      </c>
      <c r="M70">
        <v>0</v>
      </c>
      <c r="N70">
        <v>1</v>
      </c>
      <c r="O70">
        <v>1</v>
      </c>
      <c r="P70">
        <v>1</v>
      </c>
      <c r="Q70">
        <v>0</v>
      </c>
      <c r="R70">
        <v>0</v>
      </c>
      <c r="S70">
        <v>0</v>
      </c>
      <c r="T70">
        <v>1</v>
      </c>
      <c r="U70">
        <v>1</v>
      </c>
      <c r="V70">
        <v>1</v>
      </c>
      <c r="W70">
        <v>1</v>
      </c>
      <c r="X70">
        <v>0</v>
      </c>
      <c r="Y70">
        <v>0</v>
      </c>
      <c r="Z70">
        <v>0</v>
      </c>
      <c r="AA70">
        <v>0</v>
      </c>
      <c r="AB70">
        <v>0</v>
      </c>
      <c r="AC70">
        <v>0</v>
      </c>
      <c r="AD70">
        <v>0</v>
      </c>
      <c r="AE70">
        <v>0</v>
      </c>
      <c r="AF70">
        <v>0</v>
      </c>
      <c r="AG70">
        <v>1</v>
      </c>
      <c r="AH70">
        <f t="shared" si="4"/>
        <v>11</v>
      </c>
      <c r="AI70">
        <f t="shared" si="5"/>
        <v>3</v>
      </c>
      <c r="AJ70">
        <f t="shared" si="6"/>
        <v>7</v>
      </c>
      <c r="AK70">
        <f t="shared" si="7"/>
        <v>1</v>
      </c>
    </row>
    <row r="71" spans="1:37" ht="15" customHeight="1">
      <c r="A71" t="s">
        <v>163</v>
      </c>
      <c r="B71" t="s">
        <v>91</v>
      </c>
      <c r="C71" s="41" t="s">
        <v>200</v>
      </c>
      <c r="D71">
        <v>0</v>
      </c>
      <c r="E71">
        <v>0</v>
      </c>
      <c r="F71">
        <v>0</v>
      </c>
      <c r="G71">
        <v>0</v>
      </c>
      <c r="H71">
        <v>1</v>
      </c>
      <c r="I71">
        <v>1</v>
      </c>
      <c r="J71">
        <v>0</v>
      </c>
      <c r="K71">
        <v>1</v>
      </c>
      <c r="L71">
        <v>0</v>
      </c>
      <c r="M71">
        <v>0</v>
      </c>
      <c r="N71">
        <v>0</v>
      </c>
      <c r="O71">
        <v>0</v>
      </c>
      <c r="P71">
        <v>1</v>
      </c>
      <c r="Q71">
        <v>1</v>
      </c>
      <c r="R71">
        <v>1</v>
      </c>
      <c r="S71">
        <v>1</v>
      </c>
      <c r="T71">
        <v>0</v>
      </c>
      <c r="U71">
        <v>1</v>
      </c>
      <c r="V71">
        <v>0</v>
      </c>
      <c r="W71">
        <v>1</v>
      </c>
      <c r="X71">
        <v>0</v>
      </c>
      <c r="Y71">
        <v>1</v>
      </c>
      <c r="Z71">
        <v>0</v>
      </c>
      <c r="AA71">
        <v>0</v>
      </c>
      <c r="AB71">
        <v>1</v>
      </c>
      <c r="AC71">
        <v>0</v>
      </c>
      <c r="AD71">
        <v>0</v>
      </c>
      <c r="AE71">
        <v>1</v>
      </c>
      <c r="AF71">
        <v>0</v>
      </c>
      <c r="AG71">
        <v>0</v>
      </c>
      <c r="AH71">
        <f t="shared" si="4"/>
        <v>12</v>
      </c>
      <c r="AI71">
        <f t="shared" si="5"/>
        <v>3</v>
      </c>
      <c r="AJ71">
        <f t="shared" si="6"/>
        <v>6</v>
      </c>
      <c r="AK71">
        <f t="shared" si="7"/>
        <v>3</v>
      </c>
    </row>
    <row r="72" spans="1:37" ht="15" customHeight="1">
      <c r="A72" t="s">
        <v>164</v>
      </c>
      <c r="B72" t="s">
        <v>91</v>
      </c>
      <c r="C72" s="41" t="s">
        <v>200</v>
      </c>
      <c r="D72">
        <v>1</v>
      </c>
      <c r="E72">
        <v>0</v>
      </c>
      <c r="F72">
        <v>0</v>
      </c>
      <c r="G72">
        <v>0</v>
      </c>
      <c r="H72">
        <v>0</v>
      </c>
      <c r="I72">
        <v>0</v>
      </c>
      <c r="J72">
        <v>0</v>
      </c>
      <c r="K72">
        <v>0</v>
      </c>
      <c r="L72">
        <v>0</v>
      </c>
      <c r="M72">
        <v>0</v>
      </c>
      <c r="N72">
        <v>0</v>
      </c>
      <c r="O72">
        <v>1</v>
      </c>
      <c r="P72">
        <v>1</v>
      </c>
      <c r="Q72">
        <v>0</v>
      </c>
      <c r="R72">
        <v>0</v>
      </c>
      <c r="S72">
        <v>1</v>
      </c>
      <c r="T72">
        <v>1</v>
      </c>
      <c r="U72">
        <v>0</v>
      </c>
      <c r="V72">
        <v>0</v>
      </c>
      <c r="W72">
        <v>1</v>
      </c>
      <c r="X72">
        <v>0</v>
      </c>
      <c r="Y72">
        <v>0</v>
      </c>
      <c r="Z72">
        <v>0</v>
      </c>
      <c r="AA72">
        <v>0</v>
      </c>
      <c r="AB72">
        <v>0</v>
      </c>
      <c r="AC72">
        <v>1</v>
      </c>
      <c r="AD72">
        <v>0</v>
      </c>
      <c r="AE72">
        <v>1</v>
      </c>
      <c r="AF72">
        <v>1</v>
      </c>
      <c r="AG72">
        <v>1</v>
      </c>
      <c r="AH72">
        <f t="shared" si="4"/>
        <v>10</v>
      </c>
      <c r="AI72">
        <f t="shared" si="5"/>
        <v>1</v>
      </c>
      <c r="AJ72">
        <f t="shared" si="6"/>
        <v>5</v>
      </c>
      <c r="AK72">
        <f t="shared" si="7"/>
        <v>4</v>
      </c>
    </row>
    <row r="73" spans="1:37" ht="15" customHeight="1">
      <c r="A73" t="s">
        <v>165</v>
      </c>
      <c r="B73" t="s">
        <v>91</v>
      </c>
      <c r="C73" s="41" t="s">
        <v>200</v>
      </c>
      <c r="D73">
        <v>1</v>
      </c>
      <c r="E73">
        <v>1</v>
      </c>
      <c r="F73">
        <v>0</v>
      </c>
      <c r="G73">
        <v>1</v>
      </c>
      <c r="H73">
        <v>1</v>
      </c>
      <c r="I73">
        <v>0</v>
      </c>
      <c r="J73">
        <v>1</v>
      </c>
      <c r="K73">
        <v>1</v>
      </c>
      <c r="L73">
        <v>0</v>
      </c>
      <c r="M73">
        <v>0</v>
      </c>
      <c r="N73">
        <v>1</v>
      </c>
      <c r="O73">
        <v>0</v>
      </c>
      <c r="P73">
        <v>0</v>
      </c>
      <c r="Q73">
        <v>0</v>
      </c>
      <c r="R73">
        <v>0</v>
      </c>
      <c r="S73">
        <v>1</v>
      </c>
      <c r="T73">
        <v>0</v>
      </c>
      <c r="U73">
        <v>0</v>
      </c>
      <c r="V73">
        <v>0</v>
      </c>
      <c r="W73">
        <v>1</v>
      </c>
      <c r="X73">
        <v>1</v>
      </c>
      <c r="Y73">
        <v>1</v>
      </c>
      <c r="Z73">
        <v>1</v>
      </c>
      <c r="AA73">
        <v>0</v>
      </c>
      <c r="AB73">
        <v>0</v>
      </c>
      <c r="AC73">
        <v>1</v>
      </c>
      <c r="AD73">
        <v>1</v>
      </c>
      <c r="AE73">
        <v>0</v>
      </c>
      <c r="AF73">
        <v>1</v>
      </c>
      <c r="AG73">
        <v>0</v>
      </c>
      <c r="AH73">
        <f t="shared" si="4"/>
        <v>15</v>
      </c>
      <c r="AI73">
        <f t="shared" si="5"/>
        <v>6</v>
      </c>
      <c r="AJ73">
        <f t="shared" si="6"/>
        <v>3</v>
      </c>
      <c r="AK73">
        <f t="shared" si="7"/>
        <v>6</v>
      </c>
    </row>
    <row r="74" spans="1:37" ht="15" customHeight="1">
      <c r="A74" t="s">
        <v>166</v>
      </c>
      <c r="B74" t="s">
        <v>92</v>
      </c>
      <c r="C74" s="41" t="s">
        <v>200</v>
      </c>
      <c r="D74">
        <v>0</v>
      </c>
      <c r="E74">
        <v>0</v>
      </c>
      <c r="F74">
        <v>0</v>
      </c>
      <c r="G74">
        <v>0</v>
      </c>
      <c r="H74">
        <v>0</v>
      </c>
      <c r="I74">
        <v>1</v>
      </c>
      <c r="J74">
        <v>0</v>
      </c>
      <c r="K74">
        <v>0</v>
      </c>
      <c r="L74">
        <v>0</v>
      </c>
      <c r="M74">
        <v>0</v>
      </c>
      <c r="N74">
        <v>0</v>
      </c>
      <c r="O74">
        <v>1</v>
      </c>
      <c r="P74">
        <v>0</v>
      </c>
      <c r="Q74">
        <v>0</v>
      </c>
      <c r="R74">
        <v>0</v>
      </c>
      <c r="S74">
        <v>1</v>
      </c>
      <c r="T74">
        <v>0</v>
      </c>
      <c r="U74">
        <v>0</v>
      </c>
      <c r="V74">
        <v>0</v>
      </c>
      <c r="W74">
        <v>0</v>
      </c>
      <c r="X74">
        <v>1</v>
      </c>
      <c r="Y74">
        <v>1</v>
      </c>
      <c r="Z74">
        <v>1</v>
      </c>
      <c r="AA74">
        <v>0</v>
      </c>
      <c r="AB74">
        <v>0</v>
      </c>
      <c r="AC74">
        <v>1</v>
      </c>
      <c r="AD74">
        <v>0</v>
      </c>
      <c r="AE74">
        <v>0</v>
      </c>
      <c r="AF74">
        <v>1</v>
      </c>
      <c r="AG74">
        <v>0</v>
      </c>
      <c r="AH74">
        <f t="shared" si="4"/>
        <v>8</v>
      </c>
      <c r="AI74">
        <f t="shared" si="5"/>
        <v>1</v>
      </c>
      <c r="AJ74">
        <f t="shared" si="6"/>
        <v>2</v>
      </c>
      <c r="AK74">
        <f t="shared" si="7"/>
        <v>5</v>
      </c>
    </row>
    <row r="75" spans="1:37" ht="15" customHeight="1">
      <c r="A75" t="s">
        <v>167</v>
      </c>
      <c r="B75" t="s">
        <v>92</v>
      </c>
      <c r="C75" s="41" t="s">
        <v>200</v>
      </c>
      <c r="D75">
        <v>1</v>
      </c>
      <c r="E75">
        <v>1</v>
      </c>
      <c r="F75">
        <v>1</v>
      </c>
      <c r="G75">
        <v>1</v>
      </c>
      <c r="H75">
        <v>0</v>
      </c>
      <c r="I75">
        <v>0</v>
      </c>
      <c r="J75">
        <v>0</v>
      </c>
      <c r="K75">
        <v>0</v>
      </c>
      <c r="L75">
        <v>0</v>
      </c>
      <c r="M75">
        <v>1</v>
      </c>
      <c r="N75">
        <v>1</v>
      </c>
      <c r="O75">
        <v>1</v>
      </c>
      <c r="P75">
        <v>0</v>
      </c>
      <c r="Q75">
        <v>0</v>
      </c>
      <c r="R75">
        <v>0</v>
      </c>
      <c r="S75">
        <v>0</v>
      </c>
      <c r="T75">
        <v>0</v>
      </c>
      <c r="U75">
        <v>0</v>
      </c>
      <c r="V75">
        <v>0</v>
      </c>
      <c r="W75">
        <v>0</v>
      </c>
      <c r="X75">
        <v>0</v>
      </c>
      <c r="Y75">
        <v>1</v>
      </c>
      <c r="Z75">
        <v>1</v>
      </c>
      <c r="AA75">
        <v>0</v>
      </c>
      <c r="AB75">
        <v>0</v>
      </c>
      <c r="AC75">
        <v>0</v>
      </c>
      <c r="AD75">
        <v>1</v>
      </c>
      <c r="AE75">
        <v>0</v>
      </c>
      <c r="AF75">
        <v>1</v>
      </c>
      <c r="AG75">
        <v>1</v>
      </c>
      <c r="AH75">
        <f t="shared" si="4"/>
        <v>12</v>
      </c>
      <c r="AI75">
        <f t="shared" si="5"/>
        <v>5</v>
      </c>
      <c r="AJ75">
        <f t="shared" si="6"/>
        <v>2</v>
      </c>
      <c r="AK75">
        <f t="shared" si="7"/>
        <v>5</v>
      </c>
    </row>
    <row r="76" spans="1:37" ht="15" customHeight="1">
      <c r="A76" t="s">
        <v>168</v>
      </c>
      <c r="B76" t="s">
        <v>92</v>
      </c>
      <c r="C76" s="41" t="s">
        <v>200</v>
      </c>
      <c r="D76">
        <v>1</v>
      </c>
      <c r="E76">
        <v>0</v>
      </c>
      <c r="F76">
        <v>0</v>
      </c>
      <c r="G76">
        <v>1</v>
      </c>
      <c r="H76">
        <v>0</v>
      </c>
      <c r="I76">
        <v>0</v>
      </c>
      <c r="J76">
        <v>0</v>
      </c>
      <c r="K76">
        <v>1</v>
      </c>
      <c r="L76">
        <v>1</v>
      </c>
      <c r="M76">
        <v>0</v>
      </c>
      <c r="N76">
        <v>1</v>
      </c>
      <c r="O76">
        <v>1</v>
      </c>
      <c r="P76">
        <v>0</v>
      </c>
      <c r="Q76">
        <v>0</v>
      </c>
      <c r="R76">
        <v>1</v>
      </c>
      <c r="S76">
        <v>0</v>
      </c>
      <c r="T76">
        <v>1</v>
      </c>
      <c r="U76">
        <v>0</v>
      </c>
      <c r="V76">
        <v>0</v>
      </c>
      <c r="W76">
        <v>1</v>
      </c>
      <c r="X76">
        <v>0</v>
      </c>
      <c r="Y76">
        <v>0</v>
      </c>
      <c r="Z76">
        <v>0</v>
      </c>
      <c r="AA76">
        <v>1</v>
      </c>
      <c r="AB76">
        <v>0</v>
      </c>
      <c r="AC76">
        <v>0</v>
      </c>
      <c r="AD76">
        <v>1</v>
      </c>
      <c r="AE76">
        <v>1</v>
      </c>
      <c r="AF76">
        <v>0</v>
      </c>
      <c r="AG76">
        <v>0</v>
      </c>
      <c r="AH76">
        <f t="shared" si="4"/>
        <v>12</v>
      </c>
      <c r="AI76">
        <f t="shared" si="5"/>
        <v>4</v>
      </c>
      <c r="AJ76">
        <f t="shared" si="6"/>
        <v>5</v>
      </c>
      <c r="AK76">
        <f t="shared" si="7"/>
        <v>3</v>
      </c>
    </row>
    <row r="77" spans="1:37" ht="15" customHeight="1">
      <c r="A77" t="s">
        <v>169</v>
      </c>
      <c r="B77" t="s">
        <v>92</v>
      </c>
      <c r="C77" s="41" t="s">
        <v>200</v>
      </c>
      <c r="D77">
        <v>0</v>
      </c>
      <c r="E77">
        <v>1</v>
      </c>
      <c r="F77">
        <v>1</v>
      </c>
      <c r="G77">
        <v>0</v>
      </c>
      <c r="H77">
        <v>1</v>
      </c>
      <c r="I77">
        <v>0</v>
      </c>
      <c r="J77">
        <v>1</v>
      </c>
      <c r="K77">
        <v>0</v>
      </c>
      <c r="L77">
        <v>0</v>
      </c>
      <c r="M77">
        <v>0</v>
      </c>
      <c r="N77">
        <v>0</v>
      </c>
      <c r="O77">
        <v>1</v>
      </c>
      <c r="P77">
        <v>1</v>
      </c>
      <c r="Q77">
        <v>1</v>
      </c>
      <c r="R77">
        <v>0</v>
      </c>
      <c r="S77">
        <v>0</v>
      </c>
      <c r="T77">
        <v>0</v>
      </c>
      <c r="U77">
        <v>0</v>
      </c>
      <c r="V77">
        <v>0</v>
      </c>
      <c r="W77">
        <v>0</v>
      </c>
      <c r="X77">
        <v>0</v>
      </c>
      <c r="Y77">
        <v>0</v>
      </c>
      <c r="Z77">
        <v>0</v>
      </c>
      <c r="AA77">
        <v>1</v>
      </c>
      <c r="AB77">
        <v>0</v>
      </c>
      <c r="AC77">
        <v>0</v>
      </c>
      <c r="AD77">
        <v>1</v>
      </c>
      <c r="AE77">
        <v>0</v>
      </c>
      <c r="AF77">
        <v>0</v>
      </c>
      <c r="AG77">
        <v>1</v>
      </c>
      <c r="AH77">
        <f t="shared" si="4"/>
        <v>10</v>
      </c>
      <c r="AI77">
        <f t="shared" si="5"/>
        <v>4</v>
      </c>
      <c r="AJ77">
        <f t="shared" si="6"/>
        <v>3</v>
      </c>
      <c r="AK77">
        <f t="shared" si="7"/>
        <v>3</v>
      </c>
    </row>
    <row r="78" spans="1:37" ht="15" customHeight="1">
      <c r="A78" t="s">
        <v>170</v>
      </c>
      <c r="B78" t="s">
        <v>92</v>
      </c>
      <c r="C78" s="41" t="s">
        <v>200</v>
      </c>
      <c r="D78">
        <v>1</v>
      </c>
      <c r="E78">
        <v>0</v>
      </c>
      <c r="F78">
        <v>1</v>
      </c>
      <c r="G78">
        <v>0</v>
      </c>
      <c r="H78">
        <v>0</v>
      </c>
      <c r="I78">
        <v>1</v>
      </c>
      <c r="J78">
        <v>0</v>
      </c>
      <c r="K78">
        <v>0</v>
      </c>
      <c r="L78">
        <v>1</v>
      </c>
      <c r="M78">
        <v>1</v>
      </c>
      <c r="N78">
        <v>0</v>
      </c>
      <c r="O78">
        <v>0</v>
      </c>
      <c r="P78">
        <v>1</v>
      </c>
      <c r="Q78">
        <v>0</v>
      </c>
      <c r="R78">
        <v>0</v>
      </c>
      <c r="S78">
        <v>1</v>
      </c>
      <c r="T78">
        <v>1</v>
      </c>
      <c r="U78">
        <v>1</v>
      </c>
      <c r="V78">
        <v>0</v>
      </c>
      <c r="W78">
        <v>0</v>
      </c>
      <c r="X78">
        <v>1</v>
      </c>
      <c r="Y78">
        <v>1</v>
      </c>
      <c r="Z78">
        <v>1</v>
      </c>
      <c r="AA78">
        <v>1</v>
      </c>
      <c r="AB78">
        <v>0</v>
      </c>
      <c r="AC78">
        <v>0</v>
      </c>
      <c r="AD78">
        <v>0</v>
      </c>
      <c r="AE78">
        <v>0</v>
      </c>
      <c r="AF78">
        <v>0</v>
      </c>
      <c r="AG78">
        <v>1</v>
      </c>
      <c r="AH78">
        <f t="shared" si="4"/>
        <v>14</v>
      </c>
      <c r="AI78">
        <f t="shared" si="5"/>
        <v>5</v>
      </c>
      <c r="AJ78">
        <f t="shared" si="6"/>
        <v>4</v>
      </c>
      <c r="AK78">
        <f t="shared" si="7"/>
        <v>5</v>
      </c>
    </row>
    <row r="79" spans="1:37" ht="15" customHeight="1">
      <c r="A79" t="s">
        <v>171</v>
      </c>
      <c r="B79" t="s">
        <v>92</v>
      </c>
      <c r="C79" s="41" t="s">
        <v>200</v>
      </c>
      <c r="D79">
        <v>1</v>
      </c>
      <c r="E79">
        <v>1</v>
      </c>
      <c r="F79">
        <v>1</v>
      </c>
      <c r="G79">
        <v>1</v>
      </c>
      <c r="H79">
        <v>0</v>
      </c>
      <c r="I79">
        <v>0</v>
      </c>
      <c r="J79">
        <v>1</v>
      </c>
      <c r="K79">
        <v>1</v>
      </c>
      <c r="L79">
        <v>0</v>
      </c>
      <c r="M79">
        <v>1</v>
      </c>
      <c r="N79">
        <v>1</v>
      </c>
      <c r="O79">
        <v>0</v>
      </c>
      <c r="P79">
        <v>1</v>
      </c>
      <c r="Q79">
        <v>0</v>
      </c>
      <c r="R79">
        <v>0</v>
      </c>
      <c r="S79">
        <v>0</v>
      </c>
      <c r="T79">
        <v>0</v>
      </c>
      <c r="U79">
        <v>0</v>
      </c>
      <c r="V79">
        <v>0</v>
      </c>
      <c r="W79">
        <v>0</v>
      </c>
      <c r="X79">
        <v>0</v>
      </c>
      <c r="Y79">
        <v>0</v>
      </c>
      <c r="Z79">
        <v>0</v>
      </c>
      <c r="AA79">
        <v>0</v>
      </c>
      <c r="AB79">
        <v>1</v>
      </c>
      <c r="AC79">
        <v>0</v>
      </c>
      <c r="AD79">
        <v>0</v>
      </c>
      <c r="AE79">
        <v>0</v>
      </c>
      <c r="AF79">
        <v>0</v>
      </c>
      <c r="AG79">
        <v>0</v>
      </c>
      <c r="AH79">
        <f t="shared" si="4"/>
        <v>10</v>
      </c>
      <c r="AI79">
        <f t="shared" si="5"/>
        <v>7</v>
      </c>
      <c r="AJ79">
        <f t="shared" si="6"/>
        <v>2</v>
      </c>
      <c r="AK79">
        <f t="shared" si="7"/>
        <v>1</v>
      </c>
    </row>
    <row r="80" spans="1:37" ht="15" customHeight="1">
      <c r="A80" t="s">
        <v>172</v>
      </c>
      <c r="B80" t="s">
        <v>92</v>
      </c>
      <c r="C80" s="41" t="s">
        <v>200</v>
      </c>
      <c r="D80">
        <v>0</v>
      </c>
      <c r="E80">
        <v>0</v>
      </c>
      <c r="F80">
        <v>0</v>
      </c>
      <c r="G80">
        <v>1</v>
      </c>
      <c r="H80">
        <v>1</v>
      </c>
      <c r="I80">
        <v>1</v>
      </c>
      <c r="J80">
        <v>1</v>
      </c>
      <c r="K80">
        <v>0</v>
      </c>
      <c r="L80">
        <v>1</v>
      </c>
      <c r="M80">
        <v>1</v>
      </c>
      <c r="N80">
        <v>1</v>
      </c>
      <c r="O80">
        <v>1</v>
      </c>
      <c r="P80">
        <v>1</v>
      </c>
      <c r="Q80">
        <v>0</v>
      </c>
      <c r="R80">
        <v>0</v>
      </c>
      <c r="S80">
        <v>0</v>
      </c>
      <c r="T80">
        <v>0</v>
      </c>
      <c r="U80">
        <v>0</v>
      </c>
      <c r="V80">
        <v>0</v>
      </c>
      <c r="W80">
        <v>1</v>
      </c>
      <c r="X80">
        <v>0</v>
      </c>
      <c r="Y80">
        <v>0</v>
      </c>
      <c r="Z80">
        <v>0</v>
      </c>
      <c r="AA80">
        <v>1</v>
      </c>
      <c r="AB80">
        <v>0</v>
      </c>
      <c r="AC80">
        <v>1</v>
      </c>
      <c r="AD80">
        <v>1</v>
      </c>
      <c r="AE80">
        <v>0</v>
      </c>
      <c r="AF80">
        <v>0</v>
      </c>
      <c r="AG80">
        <v>0</v>
      </c>
      <c r="AH80">
        <f t="shared" si="4"/>
        <v>13</v>
      </c>
      <c r="AI80">
        <f t="shared" si="5"/>
        <v>6</v>
      </c>
      <c r="AJ80">
        <f t="shared" si="6"/>
        <v>4</v>
      </c>
      <c r="AK80">
        <f t="shared" si="7"/>
        <v>3</v>
      </c>
    </row>
    <row r="81" spans="1:37" ht="15" customHeight="1">
      <c r="A81" t="s">
        <v>173</v>
      </c>
      <c r="B81" t="s">
        <v>92</v>
      </c>
      <c r="C81" s="41" t="s">
        <v>200</v>
      </c>
      <c r="D81">
        <v>1</v>
      </c>
      <c r="E81">
        <v>0</v>
      </c>
      <c r="F81">
        <v>0</v>
      </c>
      <c r="G81">
        <v>1</v>
      </c>
      <c r="H81">
        <v>0</v>
      </c>
      <c r="I81">
        <v>0</v>
      </c>
      <c r="J81">
        <v>0</v>
      </c>
      <c r="K81">
        <v>0</v>
      </c>
      <c r="L81">
        <v>0</v>
      </c>
      <c r="M81">
        <v>1</v>
      </c>
      <c r="N81">
        <v>0</v>
      </c>
      <c r="O81">
        <v>0</v>
      </c>
      <c r="P81">
        <v>0</v>
      </c>
      <c r="Q81">
        <v>1</v>
      </c>
      <c r="R81">
        <v>0</v>
      </c>
      <c r="S81">
        <v>0</v>
      </c>
      <c r="T81">
        <v>1</v>
      </c>
      <c r="U81">
        <v>0</v>
      </c>
      <c r="V81">
        <v>0</v>
      </c>
      <c r="W81">
        <v>1</v>
      </c>
      <c r="X81">
        <v>0</v>
      </c>
      <c r="Y81">
        <v>0</v>
      </c>
      <c r="Z81">
        <v>0</v>
      </c>
      <c r="AA81">
        <v>1</v>
      </c>
      <c r="AB81">
        <v>0</v>
      </c>
      <c r="AC81">
        <v>0</v>
      </c>
      <c r="AD81">
        <v>0</v>
      </c>
      <c r="AE81">
        <v>1</v>
      </c>
      <c r="AF81">
        <v>0</v>
      </c>
      <c r="AG81">
        <v>1</v>
      </c>
      <c r="AH81">
        <f t="shared" si="4"/>
        <v>9</v>
      </c>
      <c r="AI81">
        <f t="shared" si="5"/>
        <v>3</v>
      </c>
      <c r="AJ81">
        <f t="shared" si="6"/>
        <v>3</v>
      </c>
      <c r="AK81">
        <f t="shared" si="7"/>
        <v>3</v>
      </c>
    </row>
    <row r="82" spans="1:37" ht="15" customHeight="1">
      <c r="A82" t="s">
        <v>174</v>
      </c>
      <c r="B82" t="s">
        <v>92</v>
      </c>
      <c r="C82" s="41" t="s">
        <v>200</v>
      </c>
      <c r="D82">
        <v>0</v>
      </c>
      <c r="E82">
        <v>1</v>
      </c>
      <c r="F82">
        <v>1</v>
      </c>
      <c r="G82">
        <v>1</v>
      </c>
      <c r="H82">
        <v>0</v>
      </c>
      <c r="I82">
        <v>0</v>
      </c>
      <c r="J82">
        <v>0</v>
      </c>
      <c r="K82">
        <v>1</v>
      </c>
      <c r="L82">
        <v>1</v>
      </c>
      <c r="M82">
        <v>0</v>
      </c>
      <c r="N82">
        <v>1</v>
      </c>
      <c r="O82">
        <v>1</v>
      </c>
      <c r="P82">
        <v>0</v>
      </c>
      <c r="Q82">
        <v>0</v>
      </c>
      <c r="R82">
        <v>0</v>
      </c>
      <c r="S82">
        <v>0</v>
      </c>
      <c r="T82">
        <v>1</v>
      </c>
      <c r="U82">
        <v>0</v>
      </c>
      <c r="V82">
        <v>0</v>
      </c>
      <c r="W82">
        <v>0</v>
      </c>
      <c r="X82">
        <v>0</v>
      </c>
      <c r="Y82">
        <v>0</v>
      </c>
      <c r="Z82">
        <v>0</v>
      </c>
      <c r="AA82">
        <v>0</v>
      </c>
      <c r="AB82">
        <v>1</v>
      </c>
      <c r="AC82">
        <v>0</v>
      </c>
      <c r="AD82">
        <v>1</v>
      </c>
      <c r="AE82">
        <v>0</v>
      </c>
      <c r="AF82">
        <v>1</v>
      </c>
      <c r="AG82">
        <v>0</v>
      </c>
      <c r="AH82">
        <f t="shared" si="4"/>
        <v>11</v>
      </c>
      <c r="AI82">
        <f t="shared" si="5"/>
        <v>5</v>
      </c>
      <c r="AJ82">
        <f t="shared" si="6"/>
        <v>3</v>
      </c>
      <c r="AK82">
        <f t="shared" si="7"/>
        <v>3</v>
      </c>
    </row>
    <row r="83" spans="1:37" ht="15" customHeight="1">
      <c r="A83" t="s">
        <v>175</v>
      </c>
      <c r="B83" t="s">
        <v>92</v>
      </c>
      <c r="C83" s="41" t="s">
        <v>200</v>
      </c>
      <c r="D83">
        <v>0</v>
      </c>
      <c r="E83">
        <v>1</v>
      </c>
      <c r="F83">
        <v>0</v>
      </c>
      <c r="G83">
        <v>0</v>
      </c>
      <c r="H83">
        <v>0</v>
      </c>
      <c r="I83">
        <v>1</v>
      </c>
      <c r="J83">
        <v>0</v>
      </c>
      <c r="K83">
        <v>0</v>
      </c>
      <c r="L83">
        <v>0</v>
      </c>
      <c r="M83">
        <v>0</v>
      </c>
      <c r="N83">
        <v>0</v>
      </c>
      <c r="O83">
        <v>1</v>
      </c>
      <c r="P83">
        <v>1</v>
      </c>
      <c r="Q83">
        <v>1</v>
      </c>
      <c r="R83">
        <v>0</v>
      </c>
      <c r="S83">
        <v>0</v>
      </c>
      <c r="T83">
        <v>0</v>
      </c>
      <c r="U83">
        <v>1</v>
      </c>
      <c r="V83">
        <v>0</v>
      </c>
      <c r="W83">
        <v>0</v>
      </c>
      <c r="X83">
        <v>0</v>
      </c>
      <c r="Y83">
        <v>1</v>
      </c>
      <c r="Z83">
        <v>0</v>
      </c>
      <c r="AA83">
        <v>0</v>
      </c>
      <c r="AB83">
        <v>1</v>
      </c>
      <c r="AC83">
        <v>0</v>
      </c>
      <c r="AD83">
        <v>0</v>
      </c>
      <c r="AE83">
        <v>1</v>
      </c>
      <c r="AF83">
        <v>0</v>
      </c>
      <c r="AG83">
        <v>0</v>
      </c>
      <c r="AH83">
        <f t="shared" si="4"/>
        <v>9</v>
      </c>
      <c r="AI83">
        <f t="shared" si="5"/>
        <v>2</v>
      </c>
      <c r="AJ83">
        <f t="shared" si="6"/>
        <v>4</v>
      </c>
      <c r="AK83">
        <f t="shared" si="7"/>
        <v>3</v>
      </c>
    </row>
    <row r="84" spans="1:37" ht="15" customHeight="1">
      <c r="A84" t="s">
        <v>176</v>
      </c>
      <c r="B84" t="s">
        <v>92</v>
      </c>
      <c r="C84" s="41" t="s">
        <v>200</v>
      </c>
      <c r="D84">
        <v>1</v>
      </c>
      <c r="E84">
        <v>1</v>
      </c>
      <c r="F84">
        <v>1</v>
      </c>
      <c r="G84">
        <v>0</v>
      </c>
      <c r="H84">
        <v>0</v>
      </c>
      <c r="I84">
        <v>1</v>
      </c>
      <c r="J84">
        <v>0</v>
      </c>
      <c r="K84">
        <v>1</v>
      </c>
      <c r="L84">
        <v>1</v>
      </c>
      <c r="M84">
        <v>0</v>
      </c>
      <c r="N84">
        <v>1</v>
      </c>
      <c r="O84">
        <v>1</v>
      </c>
      <c r="P84">
        <v>1</v>
      </c>
      <c r="Q84">
        <v>1</v>
      </c>
      <c r="R84">
        <v>1</v>
      </c>
      <c r="S84">
        <v>0</v>
      </c>
      <c r="T84">
        <v>1</v>
      </c>
      <c r="U84">
        <v>0</v>
      </c>
      <c r="V84">
        <v>1</v>
      </c>
      <c r="W84">
        <v>0</v>
      </c>
      <c r="X84">
        <v>0</v>
      </c>
      <c r="Y84">
        <v>0</v>
      </c>
      <c r="Z84">
        <v>0</v>
      </c>
      <c r="AA84">
        <v>0</v>
      </c>
      <c r="AB84">
        <v>0</v>
      </c>
      <c r="AC84">
        <v>1</v>
      </c>
      <c r="AD84">
        <v>0</v>
      </c>
      <c r="AE84">
        <v>0</v>
      </c>
      <c r="AF84">
        <v>0</v>
      </c>
      <c r="AG84">
        <v>0</v>
      </c>
      <c r="AH84">
        <f t="shared" si="4"/>
        <v>14</v>
      </c>
      <c r="AI84">
        <f t="shared" si="5"/>
        <v>6</v>
      </c>
      <c r="AJ84">
        <f t="shared" si="6"/>
        <v>7</v>
      </c>
      <c r="AK84">
        <f t="shared" si="7"/>
        <v>1</v>
      </c>
    </row>
    <row r="85" spans="1:37" ht="15" customHeight="1">
      <c r="A85" t="s">
        <v>177</v>
      </c>
      <c r="B85" t="s">
        <v>92</v>
      </c>
      <c r="C85" s="41" t="s">
        <v>200</v>
      </c>
      <c r="D85">
        <v>1</v>
      </c>
      <c r="E85">
        <v>0</v>
      </c>
      <c r="F85">
        <v>1</v>
      </c>
      <c r="G85">
        <v>0</v>
      </c>
      <c r="H85">
        <v>0</v>
      </c>
      <c r="I85">
        <v>0</v>
      </c>
      <c r="J85">
        <v>0</v>
      </c>
      <c r="K85">
        <v>0</v>
      </c>
      <c r="L85">
        <v>1</v>
      </c>
      <c r="M85">
        <v>1</v>
      </c>
      <c r="N85">
        <v>1</v>
      </c>
      <c r="O85">
        <v>1</v>
      </c>
      <c r="P85">
        <v>1</v>
      </c>
      <c r="Q85">
        <v>1</v>
      </c>
      <c r="R85">
        <v>1</v>
      </c>
      <c r="S85">
        <v>0</v>
      </c>
      <c r="T85">
        <v>0</v>
      </c>
      <c r="U85">
        <v>1</v>
      </c>
      <c r="V85">
        <v>0</v>
      </c>
      <c r="W85">
        <v>0</v>
      </c>
      <c r="X85">
        <v>1</v>
      </c>
      <c r="Y85">
        <v>0</v>
      </c>
      <c r="Z85">
        <v>0</v>
      </c>
      <c r="AA85">
        <v>0</v>
      </c>
      <c r="AB85">
        <v>0</v>
      </c>
      <c r="AC85">
        <v>1</v>
      </c>
      <c r="AD85">
        <v>0</v>
      </c>
      <c r="AE85">
        <v>1</v>
      </c>
      <c r="AF85">
        <v>1</v>
      </c>
      <c r="AG85">
        <v>0</v>
      </c>
      <c r="AH85">
        <f t="shared" si="4"/>
        <v>14</v>
      </c>
      <c r="AI85">
        <f t="shared" si="5"/>
        <v>4</v>
      </c>
      <c r="AJ85">
        <f t="shared" si="6"/>
        <v>6</v>
      </c>
      <c r="AK85">
        <f t="shared" si="7"/>
        <v>4</v>
      </c>
    </row>
    <row r="86" spans="1:37" ht="15" customHeight="1">
      <c r="A86" t="s">
        <v>178</v>
      </c>
      <c r="B86" t="s">
        <v>92</v>
      </c>
      <c r="C86" s="41" t="s">
        <v>200</v>
      </c>
      <c r="D86">
        <v>0</v>
      </c>
      <c r="E86">
        <v>1</v>
      </c>
      <c r="F86">
        <v>0</v>
      </c>
      <c r="G86">
        <v>1</v>
      </c>
      <c r="H86">
        <v>1</v>
      </c>
      <c r="I86">
        <v>0</v>
      </c>
      <c r="J86">
        <v>1</v>
      </c>
      <c r="K86">
        <v>0</v>
      </c>
      <c r="L86">
        <v>0</v>
      </c>
      <c r="M86">
        <v>0</v>
      </c>
      <c r="N86">
        <v>0</v>
      </c>
      <c r="O86">
        <v>0</v>
      </c>
      <c r="P86">
        <v>1</v>
      </c>
      <c r="Q86">
        <v>0</v>
      </c>
      <c r="R86">
        <v>0</v>
      </c>
      <c r="S86">
        <v>1</v>
      </c>
      <c r="T86">
        <v>0</v>
      </c>
      <c r="U86">
        <v>0</v>
      </c>
      <c r="V86">
        <v>0</v>
      </c>
      <c r="W86">
        <v>1</v>
      </c>
      <c r="X86">
        <v>0</v>
      </c>
      <c r="Y86">
        <v>0</v>
      </c>
      <c r="Z86">
        <v>0</v>
      </c>
      <c r="AA86">
        <v>1</v>
      </c>
      <c r="AB86">
        <v>1</v>
      </c>
      <c r="AC86">
        <v>1</v>
      </c>
      <c r="AD86">
        <v>1</v>
      </c>
      <c r="AE86">
        <v>1</v>
      </c>
      <c r="AF86">
        <v>1</v>
      </c>
      <c r="AG86">
        <v>0</v>
      </c>
      <c r="AH86">
        <f t="shared" si="4"/>
        <v>13</v>
      </c>
      <c r="AI86">
        <f t="shared" si="5"/>
        <v>4</v>
      </c>
      <c r="AJ86">
        <f t="shared" si="6"/>
        <v>3</v>
      </c>
      <c r="AK86">
        <f t="shared" si="7"/>
        <v>6</v>
      </c>
    </row>
    <row r="87" spans="1:37" ht="15" customHeight="1">
      <c r="A87" t="s">
        <v>179</v>
      </c>
      <c r="B87" t="s">
        <v>92</v>
      </c>
      <c r="C87" s="41" t="s">
        <v>200</v>
      </c>
      <c r="D87">
        <v>0</v>
      </c>
      <c r="E87">
        <v>0</v>
      </c>
      <c r="F87">
        <v>0</v>
      </c>
      <c r="G87">
        <v>0</v>
      </c>
      <c r="H87">
        <v>1</v>
      </c>
      <c r="I87">
        <v>1</v>
      </c>
      <c r="J87">
        <v>0</v>
      </c>
      <c r="K87">
        <v>1</v>
      </c>
      <c r="L87">
        <v>0</v>
      </c>
      <c r="M87">
        <v>0</v>
      </c>
      <c r="N87">
        <v>1</v>
      </c>
      <c r="O87">
        <v>0</v>
      </c>
      <c r="P87">
        <v>1</v>
      </c>
      <c r="Q87">
        <v>1</v>
      </c>
      <c r="R87">
        <v>1</v>
      </c>
      <c r="S87">
        <v>0</v>
      </c>
      <c r="T87">
        <v>1</v>
      </c>
      <c r="U87">
        <v>0</v>
      </c>
      <c r="V87">
        <v>1</v>
      </c>
      <c r="W87">
        <v>1</v>
      </c>
      <c r="X87">
        <v>1</v>
      </c>
      <c r="Y87">
        <v>1</v>
      </c>
      <c r="Z87">
        <v>0</v>
      </c>
      <c r="AA87">
        <v>0</v>
      </c>
      <c r="AB87">
        <v>0</v>
      </c>
      <c r="AC87">
        <v>0</v>
      </c>
      <c r="AD87">
        <v>1</v>
      </c>
      <c r="AE87">
        <v>1</v>
      </c>
      <c r="AF87">
        <v>0</v>
      </c>
      <c r="AG87">
        <v>1</v>
      </c>
      <c r="AH87">
        <f t="shared" si="4"/>
        <v>15</v>
      </c>
      <c r="AI87">
        <f t="shared" si="5"/>
        <v>3</v>
      </c>
      <c r="AJ87">
        <f t="shared" si="6"/>
        <v>7</v>
      </c>
      <c r="AK87">
        <f t="shared" si="7"/>
        <v>5</v>
      </c>
    </row>
    <row r="88" spans="1:37" ht="15" customHeight="1">
      <c r="A88" t="s">
        <v>180</v>
      </c>
      <c r="B88" t="s">
        <v>92</v>
      </c>
      <c r="C88" s="41" t="s">
        <v>200</v>
      </c>
      <c r="D88">
        <v>0</v>
      </c>
      <c r="E88">
        <v>0</v>
      </c>
      <c r="F88">
        <v>0</v>
      </c>
      <c r="G88">
        <v>1</v>
      </c>
      <c r="H88">
        <v>0</v>
      </c>
      <c r="I88">
        <v>1</v>
      </c>
      <c r="J88">
        <v>1</v>
      </c>
      <c r="K88">
        <v>0</v>
      </c>
      <c r="L88">
        <v>1</v>
      </c>
      <c r="M88">
        <v>0</v>
      </c>
      <c r="N88">
        <v>1</v>
      </c>
      <c r="O88">
        <v>1</v>
      </c>
      <c r="P88">
        <v>0</v>
      </c>
      <c r="Q88">
        <v>0</v>
      </c>
      <c r="R88">
        <v>0</v>
      </c>
      <c r="S88">
        <v>1</v>
      </c>
      <c r="T88">
        <v>1</v>
      </c>
      <c r="U88">
        <v>1</v>
      </c>
      <c r="V88">
        <v>1</v>
      </c>
      <c r="W88">
        <v>1</v>
      </c>
      <c r="X88">
        <v>0</v>
      </c>
      <c r="Y88">
        <v>1</v>
      </c>
      <c r="Z88">
        <v>0</v>
      </c>
      <c r="AA88">
        <v>0</v>
      </c>
      <c r="AB88">
        <v>0</v>
      </c>
      <c r="AC88">
        <v>0</v>
      </c>
      <c r="AD88">
        <v>0</v>
      </c>
      <c r="AE88">
        <v>0</v>
      </c>
      <c r="AF88">
        <v>1</v>
      </c>
      <c r="AG88">
        <v>1</v>
      </c>
      <c r="AH88">
        <f t="shared" si="4"/>
        <v>14</v>
      </c>
      <c r="AI88">
        <f t="shared" si="5"/>
        <v>4</v>
      </c>
      <c r="AJ88">
        <f t="shared" si="6"/>
        <v>7</v>
      </c>
      <c r="AK88">
        <f t="shared" si="7"/>
        <v>3</v>
      </c>
    </row>
    <row r="89" spans="1:37" ht="15" customHeight="1">
      <c r="A89" t="s">
        <v>181</v>
      </c>
      <c r="B89" t="s">
        <v>92</v>
      </c>
      <c r="C89" s="41" t="s">
        <v>200</v>
      </c>
      <c r="D89">
        <v>0</v>
      </c>
      <c r="E89">
        <v>0</v>
      </c>
      <c r="F89">
        <v>0</v>
      </c>
      <c r="G89">
        <v>1</v>
      </c>
      <c r="H89">
        <v>1</v>
      </c>
      <c r="I89">
        <v>0</v>
      </c>
      <c r="J89">
        <v>0</v>
      </c>
      <c r="K89">
        <v>0</v>
      </c>
      <c r="L89">
        <v>0</v>
      </c>
      <c r="M89">
        <v>1</v>
      </c>
      <c r="N89">
        <v>1</v>
      </c>
      <c r="O89">
        <v>0</v>
      </c>
      <c r="P89">
        <v>1</v>
      </c>
      <c r="Q89">
        <v>0</v>
      </c>
      <c r="R89">
        <v>1</v>
      </c>
      <c r="S89">
        <v>1</v>
      </c>
      <c r="T89">
        <v>1</v>
      </c>
      <c r="U89">
        <v>1</v>
      </c>
      <c r="V89">
        <v>0</v>
      </c>
      <c r="W89">
        <v>0</v>
      </c>
      <c r="X89">
        <v>0</v>
      </c>
      <c r="Y89">
        <v>0</v>
      </c>
      <c r="Z89">
        <v>0</v>
      </c>
      <c r="AA89">
        <v>1</v>
      </c>
      <c r="AB89">
        <v>0</v>
      </c>
      <c r="AC89">
        <v>0</v>
      </c>
      <c r="AD89">
        <v>1</v>
      </c>
      <c r="AE89">
        <v>1</v>
      </c>
      <c r="AF89">
        <v>1</v>
      </c>
      <c r="AG89">
        <v>1</v>
      </c>
      <c r="AH89">
        <f t="shared" si="4"/>
        <v>14</v>
      </c>
      <c r="AI89">
        <f t="shared" si="5"/>
        <v>3</v>
      </c>
      <c r="AJ89">
        <f t="shared" si="6"/>
        <v>6</v>
      </c>
      <c r="AK89">
        <f t="shared" si="7"/>
        <v>5</v>
      </c>
    </row>
    <row r="90" spans="1:37" ht="15" customHeight="1">
      <c r="A90" t="s">
        <v>182</v>
      </c>
      <c r="B90" t="s">
        <v>92</v>
      </c>
      <c r="C90" s="41" t="s">
        <v>200</v>
      </c>
      <c r="D90">
        <v>0</v>
      </c>
      <c r="E90">
        <v>0</v>
      </c>
      <c r="F90">
        <v>0</v>
      </c>
      <c r="G90">
        <v>0</v>
      </c>
      <c r="H90">
        <v>0</v>
      </c>
      <c r="I90">
        <v>0</v>
      </c>
      <c r="J90">
        <v>0</v>
      </c>
      <c r="K90">
        <v>0</v>
      </c>
      <c r="L90">
        <v>1</v>
      </c>
      <c r="M90">
        <v>0</v>
      </c>
      <c r="N90">
        <v>0</v>
      </c>
      <c r="O90">
        <v>0</v>
      </c>
      <c r="P90">
        <v>1</v>
      </c>
      <c r="Q90">
        <v>0</v>
      </c>
      <c r="R90">
        <v>0</v>
      </c>
      <c r="S90">
        <v>1</v>
      </c>
      <c r="T90">
        <v>0</v>
      </c>
      <c r="U90">
        <v>0</v>
      </c>
      <c r="V90">
        <v>0</v>
      </c>
      <c r="W90">
        <v>1</v>
      </c>
      <c r="X90">
        <v>0</v>
      </c>
      <c r="Y90">
        <v>1</v>
      </c>
      <c r="Z90">
        <v>0</v>
      </c>
      <c r="AA90">
        <v>1</v>
      </c>
      <c r="AB90">
        <v>0</v>
      </c>
      <c r="AC90">
        <v>0</v>
      </c>
      <c r="AD90">
        <v>1</v>
      </c>
      <c r="AE90">
        <v>0</v>
      </c>
      <c r="AF90">
        <v>1</v>
      </c>
      <c r="AG90">
        <v>0</v>
      </c>
      <c r="AH90">
        <f t="shared" si="4"/>
        <v>8</v>
      </c>
      <c r="AI90">
        <f t="shared" si="5"/>
        <v>1</v>
      </c>
      <c r="AJ90">
        <f t="shared" si="6"/>
        <v>3</v>
      </c>
      <c r="AK90">
        <f t="shared" si="7"/>
        <v>4</v>
      </c>
    </row>
    <row r="91" spans="1:37" ht="15" customHeight="1">
      <c r="A91" t="s">
        <v>183</v>
      </c>
      <c r="B91" t="s">
        <v>92</v>
      </c>
      <c r="C91" s="41" t="s">
        <v>200</v>
      </c>
      <c r="D91">
        <v>0</v>
      </c>
      <c r="E91">
        <v>0</v>
      </c>
      <c r="F91">
        <v>0</v>
      </c>
      <c r="G91">
        <v>0</v>
      </c>
      <c r="H91">
        <v>0</v>
      </c>
      <c r="I91">
        <v>0</v>
      </c>
      <c r="J91">
        <v>1</v>
      </c>
      <c r="K91">
        <v>0</v>
      </c>
      <c r="L91">
        <v>1</v>
      </c>
      <c r="M91">
        <v>0</v>
      </c>
      <c r="N91">
        <v>1</v>
      </c>
      <c r="O91">
        <v>1</v>
      </c>
      <c r="P91">
        <v>0</v>
      </c>
      <c r="Q91">
        <v>0</v>
      </c>
      <c r="R91">
        <v>0</v>
      </c>
      <c r="S91">
        <v>0</v>
      </c>
      <c r="T91">
        <v>1</v>
      </c>
      <c r="U91">
        <v>0</v>
      </c>
      <c r="V91">
        <v>1</v>
      </c>
      <c r="W91">
        <v>1</v>
      </c>
      <c r="X91">
        <v>0</v>
      </c>
      <c r="Y91">
        <v>0</v>
      </c>
      <c r="Z91">
        <v>0</v>
      </c>
      <c r="AA91">
        <v>1</v>
      </c>
      <c r="AB91">
        <v>1</v>
      </c>
      <c r="AC91">
        <v>0</v>
      </c>
      <c r="AD91">
        <v>0</v>
      </c>
      <c r="AE91">
        <v>0</v>
      </c>
      <c r="AF91">
        <v>0</v>
      </c>
      <c r="AG91">
        <v>0</v>
      </c>
      <c r="AH91">
        <f t="shared" si="4"/>
        <v>9</v>
      </c>
      <c r="AI91">
        <f t="shared" si="5"/>
        <v>2</v>
      </c>
      <c r="AJ91">
        <f t="shared" si="6"/>
        <v>5</v>
      </c>
      <c r="AK91">
        <f t="shared" si="7"/>
        <v>2</v>
      </c>
    </row>
    <row r="92" spans="1:37" ht="15" customHeight="1">
      <c r="A92" t="s">
        <v>184</v>
      </c>
      <c r="B92" t="s">
        <v>92</v>
      </c>
      <c r="C92" s="41" t="s">
        <v>200</v>
      </c>
      <c r="D92">
        <v>1</v>
      </c>
      <c r="E92">
        <v>0</v>
      </c>
      <c r="F92">
        <v>0</v>
      </c>
      <c r="G92">
        <v>0</v>
      </c>
      <c r="H92">
        <v>0</v>
      </c>
      <c r="I92">
        <v>0</v>
      </c>
      <c r="J92">
        <v>1</v>
      </c>
      <c r="K92">
        <v>0</v>
      </c>
      <c r="L92">
        <v>1</v>
      </c>
      <c r="M92">
        <v>1</v>
      </c>
      <c r="N92">
        <v>1</v>
      </c>
      <c r="O92">
        <v>0</v>
      </c>
      <c r="P92">
        <v>0</v>
      </c>
      <c r="Q92">
        <v>0</v>
      </c>
      <c r="R92">
        <v>1</v>
      </c>
      <c r="S92">
        <v>1</v>
      </c>
      <c r="T92">
        <v>1</v>
      </c>
      <c r="U92">
        <v>0</v>
      </c>
      <c r="V92">
        <v>0</v>
      </c>
      <c r="W92">
        <v>1</v>
      </c>
      <c r="X92">
        <v>0</v>
      </c>
      <c r="Y92">
        <v>0</v>
      </c>
      <c r="Z92">
        <v>0</v>
      </c>
      <c r="AA92">
        <v>0</v>
      </c>
      <c r="AB92">
        <v>0</v>
      </c>
      <c r="AC92">
        <v>1</v>
      </c>
      <c r="AD92">
        <v>1</v>
      </c>
      <c r="AE92">
        <v>1</v>
      </c>
      <c r="AF92">
        <v>1</v>
      </c>
      <c r="AG92">
        <v>0</v>
      </c>
      <c r="AH92">
        <f t="shared" si="4"/>
        <v>13</v>
      </c>
      <c r="AI92">
        <f t="shared" si="5"/>
        <v>4</v>
      </c>
      <c r="AJ92">
        <f t="shared" si="6"/>
        <v>5</v>
      </c>
      <c r="AK92">
        <f t="shared" si="7"/>
        <v>4</v>
      </c>
    </row>
    <row r="93" spans="1:37" ht="15" customHeight="1">
      <c r="A93" t="s">
        <v>185</v>
      </c>
      <c r="B93" t="s">
        <v>92</v>
      </c>
      <c r="C93" s="41" t="s">
        <v>200</v>
      </c>
      <c r="D93">
        <v>0</v>
      </c>
      <c r="E93">
        <v>1</v>
      </c>
      <c r="F93">
        <v>0</v>
      </c>
      <c r="G93">
        <v>0</v>
      </c>
      <c r="H93">
        <v>1</v>
      </c>
      <c r="I93">
        <v>1</v>
      </c>
      <c r="J93">
        <v>0</v>
      </c>
      <c r="K93">
        <v>0</v>
      </c>
      <c r="L93">
        <v>1</v>
      </c>
      <c r="M93">
        <v>1</v>
      </c>
      <c r="N93">
        <v>0</v>
      </c>
      <c r="O93">
        <v>0</v>
      </c>
      <c r="P93">
        <v>0</v>
      </c>
      <c r="Q93">
        <v>0</v>
      </c>
      <c r="R93">
        <v>0</v>
      </c>
      <c r="S93">
        <v>0</v>
      </c>
      <c r="T93">
        <v>0</v>
      </c>
      <c r="U93">
        <v>0</v>
      </c>
      <c r="V93">
        <v>0</v>
      </c>
      <c r="W93">
        <v>0</v>
      </c>
      <c r="X93">
        <v>1</v>
      </c>
      <c r="Y93">
        <v>1</v>
      </c>
      <c r="Z93">
        <v>1</v>
      </c>
      <c r="AA93">
        <v>0</v>
      </c>
      <c r="AB93">
        <v>1</v>
      </c>
      <c r="AC93">
        <v>1</v>
      </c>
      <c r="AD93">
        <v>0</v>
      </c>
      <c r="AE93">
        <v>1</v>
      </c>
      <c r="AF93">
        <v>1</v>
      </c>
      <c r="AG93">
        <v>0</v>
      </c>
      <c r="AH93">
        <f t="shared" si="4"/>
        <v>12</v>
      </c>
      <c r="AI93">
        <f t="shared" si="5"/>
        <v>5</v>
      </c>
      <c r="AJ93">
        <f t="shared" si="6"/>
        <v>0</v>
      </c>
      <c r="AK93">
        <f t="shared" si="7"/>
        <v>7</v>
      </c>
    </row>
    <row r="94" spans="1:37" ht="15" customHeight="1">
      <c r="A94" t="s">
        <v>186</v>
      </c>
      <c r="B94" t="s">
        <v>92</v>
      </c>
      <c r="C94" s="41" t="s">
        <v>200</v>
      </c>
      <c r="D94">
        <v>0</v>
      </c>
      <c r="E94">
        <v>0</v>
      </c>
      <c r="F94">
        <v>0</v>
      </c>
      <c r="G94">
        <v>0</v>
      </c>
      <c r="H94">
        <v>0</v>
      </c>
      <c r="I94">
        <v>0</v>
      </c>
      <c r="J94">
        <v>0</v>
      </c>
      <c r="K94">
        <v>0</v>
      </c>
      <c r="L94">
        <v>1</v>
      </c>
      <c r="M94">
        <v>0</v>
      </c>
      <c r="N94">
        <v>0</v>
      </c>
      <c r="O94">
        <v>1</v>
      </c>
      <c r="P94">
        <v>1</v>
      </c>
      <c r="Q94">
        <v>0</v>
      </c>
      <c r="R94">
        <v>1</v>
      </c>
      <c r="S94">
        <v>1</v>
      </c>
      <c r="T94">
        <v>0</v>
      </c>
      <c r="U94">
        <v>0</v>
      </c>
      <c r="V94">
        <v>0</v>
      </c>
      <c r="W94">
        <v>0</v>
      </c>
      <c r="X94">
        <v>0</v>
      </c>
      <c r="Y94">
        <v>1</v>
      </c>
      <c r="Z94">
        <v>0</v>
      </c>
      <c r="AA94">
        <v>0</v>
      </c>
      <c r="AB94">
        <v>1</v>
      </c>
      <c r="AC94">
        <v>0</v>
      </c>
      <c r="AD94">
        <v>1</v>
      </c>
      <c r="AE94">
        <v>1</v>
      </c>
      <c r="AF94">
        <v>1</v>
      </c>
      <c r="AG94">
        <v>0</v>
      </c>
      <c r="AH94">
        <f t="shared" si="4"/>
        <v>10</v>
      </c>
      <c r="AI94">
        <f t="shared" si="5"/>
        <v>1</v>
      </c>
      <c r="AJ94">
        <f t="shared" si="6"/>
        <v>4</v>
      </c>
      <c r="AK94">
        <f t="shared" si="7"/>
        <v>5</v>
      </c>
    </row>
    <row r="95" spans="1:37" ht="15" customHeight="1">
      <c r="A95" t="s">
        <v>187</v>
      </c>
      <c r="B95" t="s">
        <v>92</v>
      </c>
      <c r="C95" s="41" t="s">
        <v>200</v>
      </c>
      <c r="D95">
        <v>1</v>
      </c>
      <c r="E95">
        <v>1</v>
      </c>
      <c r="F95">
        <v>1</v>
      </c>
      <c r="G95">
        <v>0</v>
      </c>
      <c r="H95">
        <v>1</v>
      </c>
      <c r="I95">
        <v>1</v>
      </c>
      <c r="J95">
        <v>0</v>
      </c>
      <c r="K95">
        <v>0</v>
      </c>
      <c r="L95">
        <v>1</v>
      </c>
      <c r="M95">
        <v>0</v>
      </c>
      <c r="N95">
        <v>0</v>
      </c>
      <c r="O95">
        <v>0</v>
      </c>
      <c r="P95">
        <v>1</v>
      </c>
      <c r="Q95">
        <v>0</v>
      </c>
      <c r="R95">
        <v>0</v>
      </c>
      <c r="S95">
        <v>1</v>
      </c>
      <c r="T95">
        <v>0</v>
      </c>
      <c r="U95">
        <v>0</v>
      </c>
      <c r="V95">
        <v>0</v>
      </c>
      <c r="W95">
        <v>0</v>
      </c>
      <c r="X95">
        <v>1</v>
      </c>
      <c r="Y95">
        <v>0</v>
      </c>
      <c r="Z95">
        <v>1</v>
      </c>
      <c r="AA95">
        <v>0</v>
      </c>
      <c r="AB95">
        <v>0</v>
      </c>
      <c r="AC95">
        <v>1</v>
      </c>
      <c r="AD95">
        <v>0</v>
      </c>
      <c r="AE95">
        <v>1</v>
      </c>
      <c r="AF95">
        <v>0</v>
      </c>
      <c r="AG95">
        <v>0</v>
      </c>
      <c r="AH95">
        <f t="shared" si="4"/>
        <v>12</v>
      </c>
      <c r="AI95">
        <f t="shared" si="5"/>
        <v>6</v>
      </c>
      <c r="AJ95">
        <f t="shared" si="6"/>
        <v>2</v>
      </c>
      <c r="AK95">
        <f t="shared" si="7"/>
        <v>4</v>
      </c>
    </row>
    <row r="96" spans="1:37" ht="15" customHeight="1">
      <c r="A96" t="s">
        <v>188</v>
      </c>
      <c r="B96" t="s">
        <v>92</v>
      </c>
      <c r="C96" s="41" t="s">
        <v>200</v>
      </c>
      <c r="D96">
        <v>1</v>
      </c>
      <c r="E96">
        <v>1</v>
      </c>
      <c r="F96">
        <v>0</v>
      </c>
      <c r="G96">
        <v>1</v>
      </c>
      <c r="H96">
        <v>0</v>
      </c>
      <c r="I96">
        <v>0</v>
      </c>
      <c r="J96">
        <v>0</v>
      </c>
      <c r="K96">
        <v>1</v>
      </c>
      <c r="L96">
        <v>0</v>
      </c>
      <c r="M96">
        <v>1</v>
      </c>
      <c r="N96">
        <v>1</v>
      </c>
      <c r="O96">
        <v>1</v>
      </c>
      <c r="P96">
        <v>0</v>
      </c>
      <c r="Q96">
        <v>0</v>
      </c>
      <c r="R96">
        <v>0</v>
      </c>
      <c r="S96">
        <v>1</v>
      </c>
      <c r="T96">
        <v>0</v>
      </c>
      <c r="U96">
        <v>1</v>
      </c>
      <c r="V96">
        <v>1</v>
      </c>
      <c r="W96">
        <v>0</v>
      </c>
      <c r="X96">
        <v>0</v>
      </c>
      <c r="Y96">
        <v>0</v>
      </c>
      <c r="Z96">
        <v>0</v>
      </c>
      <c r="AA96">
        <v>1</v>
      </c>
      <c r="AB96">
        <v>1</v>
      </c>
      <c r="AC96">
        <v>0</v>
      </c>
      <c r="AD96">
        <v>0</v>
      </c>
      <c r="AE96">
        <v>0</v>
      </c>
      <c r="AF96">
        <v>1</v>
      </c>
      <c r="AG96">
        <v>0</v>
      </c>
      <c r="AH96">
        <f t="shared" si="4"/>
        <v>13</v>
      </c>
      <c r="AI96">
        <f t="shared" si="5"/>
        <v>5</v>
      </c>
      <c r="AJ96">
        <f t="shared" si="6"/>
        <v>5</v>
      </c>
      <c r="AK96">
        <f t="shared" si="7"/>
        <v>3</v>
      </c>
    </row>
    <row r="97" spans="1:37" ht="15" customHeight="1">
      <c r="A97" t="s">
        <v>189</v>
      </c>
      <c r="B97" t="s">
        <v>93</v>
      </c>
      <c r="C97" s="41" t="s">
        <v>200</v>
      </c>
      <c r="D97">
        <v>1</v>
      </c>
      <c r="E97">
        <v>0</v>
      </c>
      <c r="F97">
        <v>0</v>
      </c>
      <c r="G97">
        <v>1</v>
      </c>
      <c r="H97">
        <v>0</v>
      </c>
      <c r="I97">
        <v>1</v>
      </c>
      <c r="J97">
        <v>0</v>
      </c>
      <c r="K97">
        <v>1</v>
      </c>
      <c r="L97">
        <v>0</v>
      </c>
      <c r="M97">
        <v>1</v>
      </c>
      <c r="N97">
        <v>0</v>
      </c>
      <c r="O97">
        <v>1</v>
      </c>
      <c r="P97">
        <v>0</v>
      </c>
      <c r="Q97">
        <v>1</v>
      </c>
      <c r="R97">
        <v>0</v>
      </c>
      <c r="S97">
        <v>1</v>
      </c>
      <c r="T97">
        <v>0</v>
      </c>
      <c r="U97">
        <v>0</v>
      </c>
      <c r="V97">
        <v>1</v>
      </c>
      <c r="W97">
        <v>1</v>
      </c>
      <c r="X97">
        <v>0</v>
      </c>
      <c r="Y97">
        <v>1</v>
      </c>
      <c r="Z97">
        <v>1</v>
      </c>
      <c r="AA97">
        <v>1</v>
      </c>
      <c r="AB97">
        <v>0</v>
      </c>
      <c r="AC97">
        <v>0</v>
      </c>
      <c r="AD97">
        <v>1</v>
      </c>
      <c r="AE97">
        <v>0</v>
      </c>
      <c r="AF97">
        <v>0</v>
      </c>
      <c r="AG97">
        <v>0</v>
      </c>
      <c r="AH97">
        <f t="shared" si="4"/>
        <v>14</v>
      </c>
      <c r="AI97">
        <f t="shared" si="5"/>
        <v>5</v>
      </c>
      <c r="AJ97">
        <f t="shared" si="6"/>
        <v>5</v>
      </c>
      <c r="AK97">
        <f t="shared" si="7"/>
        <v>4</v>
      </c>
    </row>
    <row r="98" spans="1:37" ht="15" customHeight="1">
      <c r="A98" t="s">
        <v>190</v>
      </c>
      <c r="B98" t="s">
        <v>93</v>
      </c>
      <c r="C98" s="41" t="s">
        <v>200</v>
      </c>
      <c r="D98">
        <v>1</v>
      </c>
      <c r="E98">
        <v>0</v>
      </c>
      <c r="F98">
        <v>0</v>
      </c>
      <c r="G98">
        <v>0</v>
      </c>
      <c r="H98">
        <v>1</v>
      </c>
      <c r="I98">
        <v>0</v>
      </c>
      <c r="J98">
        <v>0</v>
      </c>
      <c r="K98">
        <v>0</v>
      </c>
      <c r="L98">
        <v>0</v>
      </c>
      <c r="M98">
        <v>1</v>
      </c>
      <c r="N98">
        <v>0</v>
      </c>
      <c r="O98">
        <v>0</v>
      </c>
      <c r="P98">
        <v>0</v>
      </c>
      <c r="Q98">
        <v>0</v>
      </c>
      <c r="R98">
        <v>0</v>
      </c>
      <c r="S98">
        <v>1</v>
      </c>
      <c r="T98">
        <v>1</v>
      </c>
      <c r="U98">
        <v>0</v>
      </c>
      <c r="V98">
        <v>0</v>
      </c>
      <c r="W98">
        <v>0</v>
      </c>
      <c r="X98">
        <v>0</v>
      </c>
      <c r="Y98">
        <v>0</v>
      </c>
      <c r="Z98">
        <v>0</v>
      </c>
      <c r="AA98">
        <v>1</v>
      </c>
      <c r="AB98">
        <v>1</v>
      </c>
      <c r="AC98">
        <v>0</v>
      </c>
      <c r="AD98">
        <v>0</v>
      </c>
      <c r="AE98">
        <v>1</v>
      </c>
      <c r="AF98">
        <v>1</v>
      </c>
      <c r="AG98">
        <v>0</v>
      </c>
      <c r="AH98">
        <f t="shared" si="4"/>
        <v>9</v>
      </c>
      <c r="AI98">
        <f t="shared" si="5"/>
        <v>3</v>
      </c>
      <c r="AJ98">
        <f t="shared" si="6"/>
        <v>2</v>
      </c>
      <c r="AK98">
        <f t="shared" si="7"/>
        <v>4</v>
      </c>
    </row>
    <row r="99" spans="1:37" ht="15" customHeight="1">
      <c r="A99" t="s">
        <v>191</v>
      </c>
      <c r="B99" t="s">
        <v>93</v>
      </c>
      <c r="C99" s="41" t="s">
        <v>200</v>
      </c>
      <c r="D99">
        <v>0</v>
      </c>
      <c r="E99">
        <v>0</v>
      </c>
      <c r="F99">
        <v>0</v>
      </c>
      <c r="G99">
        <v>1</v>
      </c>
      <c r="H99">
        <v>0</v>
      </c>
      <c r="I99">
        <v>0</v>
      </c>
      <c r="J99">
        <v>0</v>
      </c>
      <c r="K99">
        <v>0</v>
      </c>
      <c r="L99">
        <v>1</v>
      </c>
      <c r="M99">
        <v>1</v>
      </c>
      <c r="N99">
        <v>0</v>
      </c>
      <c r="O99">
        <v>0</v>
      </c>
      <c r="P99">
        <v>0</v>
      </c>
      <c r="Q99">
        <v>1</v>
      </c>
      <c r="R99">
        <v>1</v>
      </c>
      <c r="S99">
        <v>1</v>
      </c>
      <c r="T99">
        <v>0</v>
      </c>
      <c r="U99">
        <v>0</v>
      </c>
      <c r="V99">
        <v>1</v>
      </c>
      <c r="W99">
        <v>1</v>
      </c>
      <c r="X99">
        <v>0</v>
      </c>
      <c r="Y99">
        <v>0</v>
      </c>
      <c r="Z99">
        <v>1</v>
      </c>
      <c r="AA99">
        <v>0</v>
      </c>
      <c r="AB99">
        <v>1</v>
      </c>
      <c r="AC99">
        <v>0</v>
      </c>
      <c r="AD99">
        <v>0</v>
      </c>
      <c r="AE99">
        <v>0</v>
      </c>
      <c r="AF99">
        <v>0</v>
      </c>
      <c r="AG99">
        <v>1</v>
      </c>
      <c r="AH99">
        <f t="shared" si="4"/>
        <v>11</v>
      </c>
      <c r="AI99">
        <f t="shared" si="5"/>
        <v>3</v>
      </c>
      <c r="AJ99">
        <f t="shared" si="6"/>
        <v>5</v>
      </c>
      <c r="AK99">
        <f t="shared" si="7"/>
        <v>3</v>
      </c>
    </row>
    <row r="100" spans="1:37" ht="15" customHeight="1">
      <c r="A100" t="s">
        <v>192</v>
      </c>
      <c r="B100" t="s">
        <v>93</v>
      </c>
      <c r="C100" s="41" t="s">
        <v>200</v>
      </c>
      <c r="D100">
        <v>0</v>
      </c>
      <c r="E100">
        <v>0</v>
      </c>
      <c r="F100">
        <v>1</v>
      </c>
      <c r="G100">
        <v>1</v>
      </c>
      <c r="H100">
        <v>0</v>
      </c>
      <c r="I100">
        <v>1</v>
      </c>
      <c r="J100">
        <v>0</v>
      </c>
      <c r="K100">
        <v>0</v>
      </c>
      <c r="L100">
        <v>0</v>
      </c>
      <c r="M100">
        <v>0</v>
      </c>
      <c r="N100">
        <v>1</v>
      </c>
      <c r="O100">
        <v>0</v>
      </c>
      <c r="P100">
        <v>0</v>
      </c>
      <c r="Q100">
        <v>1</v>
      </c>
      <c r="R100">
        <v>0</v>
      </c>
      <c r="S100">
        <v>0</v>
      </c>
      <c r="T100">
        <v>1</v>
      </c>
      <c r="U100">
        <v>1</v>
      </c>
      <c r="V100">
        <v>1</v>
      </c>
      <c r="W100">
        <v>1</v>
      </c>
      <c r="X100">
        <v>0</v>
      </c>
      <c r="Y100">
        <v>0</v>
      </c>
      <c r="Z100">
        <v>0</v>
      </c>
      <c r="AA100">
        <v>1</v>
      </c>
      <c r="AB100">
        <v>1</v>
      </c>
      <c r="AC100">
        <v>1</v>
      </c>
      <c r="AD100">
        <v>1</v>
      </c>
      <c r="AE100">
        <v>0</v>
      </c>
      <c r="AF100">
        <v>0</v>
      </c>
      <c r="AG100">
        <v>0</v>
      </c>
      <c r="AH100">
        <f t="shared" si="4"/>
        <v>13</v>
      </c>
      <c r="AI100">
        <f t="shared" si="5"/>
        <v>3</v>
      </c>
      <c r="AJ100">
        <f t="shared" si="6"/>
        <v>6</v>
      </c>
      <c r="AK100">
        <f t="shared" si="7"/>
        <v>4</v>
      </c>
    </row>
    <row r="101" spans="1:37" ht="15" customHeight="1">
      <c r="A101" t="s">
        <v>193</v>
      </c>
      <c r="B101" t="s">
        <v>93</v>
      </c>
      <c r="C101" s="41" t="s">
        <v>200</v>
      </c>
      <c r="D101">
        <v>1</v>
      </c>
      <c r="E101">
        <v>1</v>
      </c>
      <c r="F101">
        <v>0</v>
      </c>
      <c r="G101">
        <v>0</v>
      </c>
      <c r="H101">
        <v>0</v>
      </c>
      <c r="I101">
        <v>1</v>
      </c>
      <c r="J101">
        <v>0</v>
      </c>
      <c r="K101">
        <v>0</v>
      </c>
      <c r="L101">
        <v>1</v>
      </c>
      <c r="M101">
        <v>0</v>
      </c>
      <c r="N101">
        <v>1</v>
      </c>
      <c r="O101">
        <v>0</v>
      </c>
      <c r="P101">
        <v>1</v>
      </c>
      <c r="Q101">
        <v>0</v>
      </c>
      <c r="R101">
        <v>0</v>
      </c>
      <c r="S101">
        <v>0</v>
      </c>
      <c r="T101">
        <v>1</v>
      </c>
      <c r="U101">
        <v>1</v>
      </c>
      <c r="V101">
        <v>1</v>
      </c>
      <c r="W101">
        <v>0</v>
      </c>
      <c r="X101">
        <v>0</v>
      </c>
      <c r="Y101">
        <v>1</v>
      </c>
      <c r="Z101">
        <v>1</v>
      </c>
      <c r="AA101">
        <v>0</v>
      </c>
      <c r="AB101">
        <v>1</v>
      </c>
      <c r="AC101">
        <v>0</v>
      </c>
      <c r="AD101">
        <v>0</v>
      </c>
      <c r="AE101">
        <v>0</v>
      </c>
      <c r="AF101">
        <v>0</v>
      </c>
      <c r="AG101">
        <v>0</v>
      </c>
      <c r="AH101">
        <f t="shared" si="4"/>
        <v>12</v>
      </c>
      <c r="AI101">
        <f t="shared" si="5"/>
        <v>4</v>
      </c>
      <c r="AJ101">
        <f t="shared" si="6"/>
        <v>5</v>
      </c>
      <c r="AK101">
        <f t="shared" si="7"/>
        <v>3</v>
      </c>
    </row>
    <row r="102" spans="1:37" ht="15" customHeight="1">
      <c r="A102" t="s">
        <v>194</v>
      </c>
      <c r="B102" t="s">
        <v>93</v>
      </c>
      <c r="C102" s="41" t="s">
        <v>200</v>
      </c>
      <c r="D102">
        <v>0</v>
      </c>
      <c r="E102">
        <v>1</v>
      </c>
      <c r="F102">
        <v>1</v>
      </c>
      <c r="G102">
        <v>0</v>
      </c>
      <c r="H102">
        <v>1</v>
      </c>
      <c r="I102">
        <v>0</v>
      </c>
      <c r="J102">
        <v>1</v>
      </c>
      <c r="K102">
        <v>0</v>
      </c>
      <c r="L102">
        <v>1</v>
      </c>
      <c r="M102">
        <v>0</v>
      </c>
      <c r="N102">
        <v>0</v>
      </c>
      <c r="O102">
        <v>0</v>
      </c>
      <c r="P102">
        <v>0</v>
      </c>
      <c r="Q102">
        <v>1</v>
      </c>
      <c r="R102">
        <v>0</v>
      </c>
      <c r="S102">
        <v>1</v>
      </c>
      <c r="T102">
        <v>0</v>
      </c>
      <c r="U102">
        <v>0</v>
      </c>
      <c r="V102">
        <v>0</v>
      </c>
      <c r="W102">
        <v>0</v>
      </c>
      <c r="X102">
        <v>1</v>
      </c>
      <c r="Y102">
        <v>0</v>
      </c>
      <c r="Z102">
        <v>0</v>
      </c>
      <c r="AA102">
        <v>0</v>
      </c>
      <c r="AB102">
        <v>0</v>
      </c>
      <c r="AC102">
        <v>0</v>
      </c>
      <c r="AD102">
        <v>0</v>
      </c>
      <c r="AE102">
        <v>0</v>
      </c>
      <c r="AF102">
        <v>0</v>
      </c>
      <c r="AG102">
        <v>0</v>
      </c>
      <c r="AH102">
        <f t="shared" si="4"/>
        <v>8</v>
      </c>
      <c r="AI102">
        <f t="shared" si="5"/>
        <v>5</v>
      </c>
      <c r="AJ102">
        <f t="shared" si="6"/>
        <v>2</v>
      </c>
      <c r="AK102">
        <f t="shared" si="7"/>
        <v>1</v>
      </c>
    </row>
    <row r="103" spans="1:37" ht="15" customHeight="1">
      <c r="A103" t="s">
        <v>195</v>
      </c>
      <c r="B103" t="s">
        <v>93</v>
      </c>
      <c r="C103" s="41" t="s">
        <v>200</v>
      </c>
      <c r="D103">
        <v>1</v>
      </c>
      <c r="E103">
        <v>1</v>
      </c>
      <c r="F103">
        <v>1</v>
      </c>
      <c r="G103">
        <v>0</v>
      </c>
      <c r="H103">
        <v>0</v>
      </c>
      <c r="I103">
        <v>0</v>
      </c>
      <c r="J103">
        <v>0</v>
      </c>
      <c r="K103">
        <v>1</v>
      </c>
      <c r="L103">
        <v>0</v>
      </c>
      <c r="M103">
        <v>0</v>
      </c>
      <c r="N103">
        <v>1</v>
      </c>
      <c r="O103">
        <v>0</v>
      </c>
      <c r="P103">
        <v>0</v>
      </c>
      <c r="Q103">
        <v>1</v>
      </c>
      <c r="R103">
        <v>0</v>
      </c>
      <c r="S103">
        <v>1</v>
      </c>
      <c r="T103">
        <v>0</v>
      </c>
      <c r="U103">
        <v>1</v>
      </c>
      <c r="V103">
        <v>1</v>
      </c>
      <c r="W103">
        <v>1</v>
      </c>
      <c r="X103">
        <v>1</v>
      </c>
      <c r="Y103">
        <v>0</v>
      </c>
      <c r="Z103">
        <v>1</v>
      </c>
      <c r="AA103">
        <v>1</v>
      </c>
      <c r="AB103">
        <v>1</v>
      </c>
      <c r="AC103">
        <v>1</v>
      </c>
      <c r="AD103">
        <v>0</v>
      </c>
      <c r="AE103">
        <v>0</v>
      </c>
      <c r="AF103">
        <v>0</v>
      </c>
      <c r="AG103">
        <v>0</v>
      </c>
      <c r="AH103">
        <f t="shared" si="4"/>
        <v>15</v>
      </c>
      <c r="AI103">
        <f t="shared" si="5"/>
        <v>4</v>
      </c>
      <c r="AJ103">
        <f t="shared" si="6"/>
        <v>6</v>
      </c>
      <c r="AK103">
        <f t="shared" si="7"/>
        <v>5</v>
      </c>
    </row>
    <row r="104" spans="1:37" ht="15" customHeight="1">
      <c r="A104" t="s">
        <v>196</v>
      </c>
      <c r="B104" t="s">
        <v>93</v>
      </c>
      <c r="C104" s="41" t="s">
        <v>200</v>
      </c>
      <c r="D104">
        <v>1</v>
      </c>
      <c r="E104">
        <v>0</v>
      </c>
      <c r="F104">
        <v>1</v>
      </c>
      <c r="G104">
        <v>0</v>
      </c>
      <c r="H104">
        <v>0</v>
      </c>
      <c r="I104">
        <v>0</v>
      </c>
      <c r="J104">
        <v>0</v>
      </c>
      <c r="K104">
        <v>0</v>
      </c>
      <c r="L104">
        <v>1</v>
      </c>
      <c r="M104">
        <v>1</v>
      </c>
      <c r="N104">
        <v>1</v>
      </c>
      <c r="O104">
        <v>1</v>
      </c>
      <c r="P104">
        <v>0</v>
      </c>
      <c r="Q104">
        <v>1</v>
      </c>
      <c r="R104">
        <v>1</v>
      </c>
      <c r="S104">
        <v>0</v>
      </c>
      <c r="T104">
        <v>1</v>
      </c>
      <c r="U104">
        <v>0</v>
      </c>
      <c r="V104">
        <v>0</v>
      </c>
      <c r="W104">
        <v>1</v>
      </c>
      <c r="X104">
        <v>0</v>
      </c>
      <c r="Y104">
        <v>0</v>
      </c>
      <c r="Z104">
        <v>0</v>
      </c>
      <c r="AA104">
        <v>0</v>
      </c>
      <c r="AB104">
        <v>1</v>
      </c>
      <c r="AC104">
        <v>0</v>
      </c>
      <c r="AD104">
        <v>0</v>
      </c>
      <c r="AE104">
        <v>1</v>
      </c>
      <c r="AF104">
        <v>0</v>
      </c>
      <c r="AG104">
        <v>0</v>
      </c>
      <c r="AH104">
        <f t="shared" si="4"/>
        <v>12</v>
      </c>
      <c r="AI104">
        <f t="shared" si="5"/>
        <v>4</v>
      </c>
      <c r="AJ104">
        <f t="shared" si="6"/>
        <v>6</v>
      </c>
      <c r="AK104">
        <f t="shared" si="7"/>
        <v>2</v>
      </c>
    </row>
    <row r="105" spans="1:37" ht="15" customHeight="1">
      <c r="A105" t="s">
        <v>197</v>
      </c>
      <c r="B105" t="s">
        <v>93</v>
      </c>
      <c r="C105" s="41" t="s">
        <v>200</v>
      </c>
      <c r="D105">
        <v>0</v>
      </c>
      <c r="E105">
        <v>1</v>
      </c>
      <c r="F105">
        <v>0</v>
      </c>
      <c r="G105">
        <v>0</v>
      </c>
      <c r="H105">
        <v>1</v>
      </c>
      <c r="I105">
        <v>0</v>
      </c>
      <c r="J105">
        <v>1</v>
      </c>
      <c r="K105">
        <v>0</v>
      </c>
      <c r="L105">
        <v>1</v>
      </c>
      <c r="M105">
        <v>1</v>
      </c>
      <c r="N105">
        <v>1</v>
      </c>
      <c r="O105">
        <v>1</v>
      </c>
      <c r="P105">
        <v>0</v>
      </c>
      <c r="Q105">
        <v>1</v>
      </c>
      <c r="R105">
        <v>1</v>
      </c>
      <c r="S105">
        <v>0</v>
      </c>
      <c r="T105">
        <v>1</v>
      </c>
      <c r="U105">
        <v>1</v>
      </c>
      <c r="V105">
        <v>0</v>
      </c>
      <c r="W105">
        <v>0</v>
      </c>
      <c r="X105">
        <v>1</v>
      </c>
      <c r="Y105">
        <v>0</v>
      </c>
      <c r="Z105">
        <v>1</v>
      </c>
      <c r="AA105">
        <v>0</v>
      </c>
      <c r="AB105">
        <v>0</v>
      </c>
      <c r="AC105">
        <v>0</v>
      </c>
      <c r="AD105">
        <v>0</v>
      </c>
      <c r="AE105">
        <v>0</v>
      </c>
      <c r="AF105">
        <v>0</v>
      </c>
      <c r="AG105">
        <v>0</v>
      </c>
      <c r="AH105">
        <f t="shared" si="4"/>
        <v>13</v>
      </c>
      <c r="AI105">
        <f t="shared" si="5"/>
        <v>5</v>
      </c>
      <c r="AJ105">
        <f t="shared" si="6"/>
        <v>6</v>
      </c>
      <c r="AK105">
        <f t="shared" si="7"/>
        <v>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
  <sheetViews>
    <sheetView showGridLines="0" topLeftCell="C1" zoomScale="73" zoomScaleNormal="73" workbookViewId="0">
      <selection activeCell="C34" sqref="C34"/>
    </sheetView>
  </sheetViews>
  <sheetFormatPr defaultColWidth="32.7109375" defaultRowHeight="15"/>
  <cols>
    <col min="14" max="14" width="45.140625" customWidth="1"/>
    <col min="16" max="16" width="39.28515625" customWidth="1"/>
    <col min="17" max="17" width="36.85546875" customWidth="1"/>
  </cols>
  <sheetData>
    <row r="1" spans="1:24">
      <c r="A1" s="16" t="s">
        <v>208</v>
      </c>
      <c r="B1" s="16" t="s">
        <v>84</v>
      </c>
      <c r="C1" s="16" t="s">
        <v>86</v>
      </c>
      <c r="D1" s="16" t="s">
        <v>87</v>
      </c>
      <c r="E1" s="16" t="s">
        <v>207</v>
      </c>
      <c r="F1" s="16" t="s">
        <v>89</v>
      </c>
      <c r="G1" s="16" t="s">
        <v>90</v>
      </c>
      <c r="H1" s="16" t="s">
        <v>91</v>
      </c>
      <c r="I1" s="16" t="s">
        <v>92</v>
      </c>
      <c r="J1" s="16" t="s">
        <v>93</v>
      </c>
      <c r="K1" s="16" t="s">
        <v>110</v>
      </c>
      <c r="L1" s="16" t="s">
        <v>111</v>
      </c>
      <c r="M1" s="16" t="s">
        <v>112</v>
      </c>
      <c r="N1" s="16" t="s">
        <v>113</v>
      </c>
      <c r="O1" s="16" t="s">
        <v>114</v>
      </c>
      <c r="P1" s="16" t="s">
        <v>115</v>
      </c>
      <c r="Q1" s="16" t="s">
        <v>116</v>
      </c>
      <c r="R1" s="16" t="s">
        <v>117</v>
      </c>
      <c r="S1" s="16" t="s">
        <v>118</v>
      </c>
      <c r="T1" s="16" t="s">
        <v>119</v>
      </c>
      <c r="U1" s="16" t="s">
        <v>120</v>
      </c>
      <c r="V1" s="16" t="s">
        <v>121</v>
      </c>
      <c r="W1" s="16" t="s">
        <v>122</v>
      </c>
      <c r="X1" t="s">
        <v>138</v>
      </c>
    </row>
    <row r="2" spans="1:24">
      <c r="A2" t="s">
        <v>62</v>
      </c>
      <c r="B2" t="s">
        <v>1</v>
      </c>
      <c r="C2">
        <v>2</v>
      </c>
      <c r="D2">
        <v>1</v>
      </c>
      <c r="E2">
        <v>3</v>
      </c>
      <c r="F2">
        <v>1</v>
      </c>
      <c r="G2">
        <v>3</v>
      </c>
      <c r="H2">
        <v>6</v>
      </c>
      <c r="I2">
        <v>10</v>
      </c>
      <c r="J2">
        <v>5</v>
      </c>
      <c r="K2">
        <v>7.2</v>
      </c>
      <c r="L2">
        <v>26.5</v>
      </c>
      <c r="M2">
        <v>32.4</v>
      </c>
      <c r="N2">
        <v>28.6</v>
      </c>
      <c r="O2">
        <v>68</v>
      </c>
      <c r="P2">
        <v>2.1</v>
      </c>
      <c r="Q2">
        <v>420</v>
      </c>
      <c r="R2">
        <v>5.0000000000000001E-4</v>
      </c>
      <c r="S2">
        <v>5.0000000000000001E-4</v>
      </c>
      <c r="T2">
        <v>0.17699999999999999</v>
      </c>
      <c r="U2">
        <v>3.5000000000000003E-2</v>
      </c>
      <c r="V2">
        <v>5.0000000000000001E-4</v>
      </c>
      <c r="W2">
        <v>4.4999999999999998E-2</v>
      </c>
      <c r="X2">
        <v>7</v>
      </c>
    </row>
    <row r="3" spans="1:24">
      <c r="A3" t="s">
        <v>63</v>
      </c>
      <c r="B3" t="s">
        <v>1</v>
      </c>
      <c r="C3">
        <v>2</v>
      </c>
      <c r="D3">
        <v>1</v>
      </c>
      <c r="E3">
        <v>4</v>
      </c>
      <c r="F3">
        <v>1</v>
      </c>
      <c r="G3">
        <v>5</v>
      </c>
      <c r="H3">
        <v>2</v>
      </c>
      <c r="I3">
        <v>10</v>
      </c>
      <c r="J3">
        <v>4</v>
      </c>
      <c r="K3">
        <v>7</v>
      </c>
      <c r="L3">
        <v>26.8</v>
      </c>
      <c r="M3">
        <v>38.9</v>
      </c>
      <c r="N3">
        <v>45.2</v>
      </c>
      <c r="O3">
        <v>65</v>
      </c>
      <c r="P3">
        <v>3</v>
      </c>
      <c r="Q3">
        <v>460</v>
      </c>
      <c r="R3">
        <v>5.0000000000000001E-3</v>
      </c>
      <c r="S3">
        <v>5.0000000000000001E-4</v>
      </c>
      <c r="T3">
        <v>0.24299999999999999</v>
      </c>
      <c r="U3">
        <v>1.9E-2</v>
      </c>
      <c r="V3">
        <v>5.0000000000000001E-4</v>
      </c>
      <c r="W3">
        <v>7.1999999999999995E-2</v>
      </c>
      <c r="X3">
        <v>8</v>
      </c>
    </row>
    <row r="4" spans="1:24">
      <c r="A4" t="s">
        <v>64</v>
      </c>
      <c r="B4" t="s">
        <v>1</v>
      </c>
      <c r="C4">
        <v>0</v>
      </c>
      <c r="D4">
        <v>2</v>
      </c>
      <c r="E4">
        <v>1</v>
      </c>
      <c r="F4">
        <v>1</v>
      </c>
      <c r="G4">
        <v>3</v>
      </c>
      <c r="H4">
        <v>2</v>
      </c>
      <c r="I4">
        <v>8</v>
      </c>
      <c r="J4">
        <v>4</v>
      </c>
      <c r="K4">
        <v>6.8</v>
      </c>
      <c r="L4">
        <v>27</v>
      </c>
      <c r="M4">
        <v>41.2</v>
      </c>
      <c r="N4">
        <v>52.4</v>
      </c>
      <c r="O4">
        <v>62</v>
      </c>
      <c r="P4">
        <v>3.8</v>
      </c>
      <c r="Q4">
        <v>500</v>
      </c>
      <c r="R4">
        <v>5.0000000000000001E-4</v>
      </c>
      <c r="S4">
        <v>5.0000000000000001E-4</v>
      </c>
      <c r="T4">
        <v>0.10100000000000001</v>
      </c>
      <c r="U4">
        <v>2.4E-2</v>
      </c>
      <c r="V4">
        <v>5.0000000000000001E-4</v>
      </c>
      <c r="W4">
        <v>9.8000000000000004E-2</v>
      </c>
      <c r="X4">
        <v>4</v>
      </c>
    </row>
    <row r="5" spans="1:24">
      <c r="A5" t="s">
        <v>65</v>
      </c>
      <c r="B5" t="s">
        <v>1</v>
      </c>
      <c r="C5">
        <v>1</v>
      </c>
      <c r="D5">
        <v>3</v>
      </c>
      <c r="E5">
        <v>2</v>
      </c>
      <c r="F5">
        <v>0</v>
      </c>
      <c r="G5">
        <v>5</v>
      </c>
      <c r="H5">
        <v>5</v>
      </c>
      <c r="I5">
        <v>10</v>
      </c>
      <c r="J5">
        <v>3</v>
      </c>
      <c r="K5">
        <v>6.7</v>
      </c>
      <c r="L5">
        <v>27.2</v>
      </c>
      <c r="M5">
        <v>45.6</v>
      </c>
      <c r="N5">
        <v>60.8</v>
      </c>
      <c r="O5">
        <v>58</v>
      </c>
      <c r="P5">
        <v>4.2</v>
      </c>
      <c r="Q5">
        <v>540</v>
      </c>
      <c r="R5">
        <v>5.0000000000000001E-4</v>
      </c>
      <c r="S5">
        <v>5.0000000000000001E-4</v>
      </c>
      <c r="T5">
        <v>0.16700000000000001</v>
      </c>
      <c r="U5">
        <v>7.0000000000000001E-3</v>
      </c>
      <c r="V5">
        <v>5.0000000000000001E-4</v>
      </c>
      <c r="W5">
        <v>7.3999999999999996E-2</v>
      </c>
      <c r="X5">
        <v>7</v>
      </c>
    </row>
    <row r="6" spans="1:24">
      <c r="A6" t="s">
        <v>66</v>
      </c>
      <c r="B6" t="s">
        <v>1</v>
      </c>
      <c r="C6">
        <v>3</v>
      </c>
      <c r="D6">
        <v>4</v>
      </c>
      <c r="E6">
        <v>4</v>
      </c>
      <c r="F6">
        <v>0</v>
      </c>
      <c r="G6">
        <v>3</v>
      </c>
      <c r="H6">
        <v>3</v>
      </c>
      <c r="I6">
        <v>7</v>
      </c>
      <c r="J6">
        <v>3</v>
      </c>
      <c r="K6">
        <v>6.6</v>
      </c>
      <c r="L6">
        <v>27.5</v>
      </c>
      <c r="M6">
        <v>49.8</v>
      </c>
      <c r="N6">
        <v>72.599999999999994</v>
      </c>
      <c r="O6">
        <v>34</v>
      </c>
      <c r="P6">
        <v>5</v>
      </c>
      <c r="Q6">
        <v>580</v>
      </c>
      <c r="R6">
        <v>5.0000000000000001E-4</v>
      </c>
      <c r="S6">
        <v>5.0000000000000001E-4</v>
      </c>
      <c r="T6">
        <v>0.114</v>
      </c>
      <c r="U6">
        <v>2.1000000000000001E-2</v>
      </c>
      <c r="V6">
        <v>5.0000000000000001E-4</v>
      </c>
      <c r="W6">
        <v>8.8999999999999996E-2</v>
      </c>
      <c r="X6">
        <v>11</v>
      </c>
    </row>
    <row r="7" spans="1:24">
      <c r="A7" t="s">
        <v>67</v>
      </c>
      <c r="B7" t="s">
        <v>1</v>
      </c>
      <c r="C7">
        <v>2</v>
      </c>
      <c r="D7">
        <v>0</v>
      </c>
      <c r="E7">
        <v>2</v>
      </c>
      <c r="F7">
        <v>1</v>
      </c>
      <c r="G7">
        <v>5</v>
      </c>
      <c r="H7">
        <v>3</v>
      </c>
      <c r="I7">
        <v>9</v>
      </c>
      <c r="J7">
        <v>3</v>
      </c>
      <c r="K7">
        <v>6.5</v>
      </c>
      <c r="L7">
        <v>27.8</v>
      </c>
      <c r="M7">
        <v>52.4</v>
      </c>
      <c r="N7">
        <v>88.4</v>
      </c>
      <c r="O7">
        <v>48</v>
      </c>
      <c r="P7">
        <v>6.3</v>
      </c>
      <c r="Q7">
        <v>640</v>
      </c>
      <c r="R7">
        <v>5.0000000000000001E-4</v>
      </c>
      <c r="S7">
        <v>5.0000000000000001E-4</v>
      </c>
      <c r="T7">
        <v>0.155</v>
      </c>
      <c r="U7">
        <v>1.7999999999999999E-2</v>
      </c>
      <c r="V7">
        <v>5.0000000000000001E-4</v>
      </c>
      <c r="W7">
        <v>5.2999999999999999E-2</v>
      </c>
      <c r="X7">
        <v>5</v>
      </c>
    </row>
    <row r="8" spans="1:24">
      <c r="A8" t="s">
        <v>68</v>
      </c>
      <c r="B8" t="s">
        <v>1</v>
      </c>
      <c r="C8">
        <v>1</v>
      </c>
      <c r="D8">
        <v>0</v>
      </c>
      <c r="E8">
        <v>1</v>
      </c>
      <c r="F8">
        <v>0</v>
      </c>
      <c r="G8">
        <v>4</v>
      </c>
      <c r="H8">
        <v>3</v>
      </c>
      <c r="I8">
        <v>7</v>
      </c>
      <c r="J8">
        <v>2</v>
      </c>
      <c r="K8">
        <v>6.4</v>
      </c>
      <c r="L8">
        <v>28</v>
      </c>
      <c r="M8">
        <v>56.7</v>
      </c>
      <c r="N8">
        <v>96.3</v>
      </c>
      <c r="O8">
        <v>42</v>
      </c>
      <c r="P8">
        <v>7.1</v>
      </c>
      <c r="Q8">
        <v>700</v>
      </c>
      <c r="R8">
        <v>5.0000000000000001E-4</v>
      </c>
      <c r="S8">
        <v>5.0000000000000001E-4</v>
      </c>
      <c r="T8">
        <v>0.17399999999999999</v>
      </c>
      <c r="U8">
        <v>1.2E-2</v>
      </c>
      <c r="V8">
        <v>5.0000000000000001E-4</v>
      </c>
      <c r="W8">
        <v>0.112</v>
      </c>
      <c r="X8">
        <v>2</v>
      </c>
    </row>
    <row r="9" spans="1:24">
      <c r="A9" t="s">
        <v>69</v>
      </c>
      <c r="B9" t="s">
        <v>1</v>
      </c>
      <c r="C9">
        <v>1</v>
      </c>
      <c r="D9">
        <v>0</v>
      </c>
      <c r="E9">
        <v>0</v>
      </c>
      <c r="F9">
        <v>0</v>
      </c>
      <c r="G9">
        <v>5</v>
      </c>
      <c r="H9">
        <v>5</v>
      </c>
      <c r="I9">
        <v>6</v>
      </c>
      <c r="J9">
        <v>2</v>
      </c>
      <c r="K9">
        <v>6.2</v>
      </c>
      <c r="L9">
        <v>29</v>
      </c>
      <c r="M9">
        <v>60.3</v>
      </c>
      <c r="N9">
        <v>108.5</v>
      </c>
      <c r="O9">
        <v>38</v>
      </c>
      <c r="P9">
        <v>8</v>
      </c>
      <c r="Q9">
        <v>760</v>
      </c>
      <c r="R9">
        <v>5.0000000000000001E-4</v>
      </c>
      <c r="S9">
        <v>5.0000000000000001E-4</v>
      </c>
      <c r="T9">
        <v>0.26100000000000001</v>
      </c>
      <c r="U9">
        <v>1.0999999999999999E-2</v>
      </c>
      <c r="V9">
        <v>5.0000000000000001E-4</v>
      </c>
      <c r="W9">
        <v>6.7000000000000004E-2</v>
      </c>
      <c r="X9">
        <v>1</v>
      </c>
    </row>
    <row r="10" spans="1:24">
      <c r="A10" t="s">
        <v>70</v>
      </c>
      <c r="B10" t="s">
        <v>1</v>
      </c>
      <c r="C10">
        <v>4</v>
      </c>
      <c r="D10">
        <v>0</v>
      </c>
      <c r="E10">
        <v>1</v>
      </c>
      <c r="F10">
        <v>2</v>
      </c>
      <c r="G10">
        <v>1</v>
      </c>
      <c r="H10">
        <v>1</v>
      </c>
      <c r="I10">
        <v>13</v>
      </c>
      <c r="J10">
        <v>5</v>
      </c>
      <c r="K10">
        <v>6.1</v>
      </c>
      <c r="L10">
        <v>28.8</v>
      </c>
      <c r="M10">
        <v>62.5</v>
      </c>
      <c r="N10">
        <v>116.2</v>
      </c>
      <c r="O10">
        <v>35</v>
      </c>
      <c r="P10">
        <v>8.5</v>
      </c>
      <c r="Q10">
        <v>800</v>
      </c>
      <c r="R10">
        <v>1.4E-2</v>
      </c>
      <c r="S10">
        <v>5.0000000000000001E-4</v>
      </c>
      <c r="T10">
        <v>0.315</v>
      </c>
      <c r="U10">
        <v>5.0000000000000001E-3</v>
      </c>
      <c r="V10">
        <v>5.0000000000000001E-4</v>
      </c>
      <c r="W10">
        <v>0.24299999999999999</v>
      </c>
      <c r="X10">
        <v>7</v>
      </c>
    </row>
    <row r="11" spans="1:24">
      <c r="A11" t="s">
        <v>71</v>
      </c>
      <c r="B11" t="s">
        <v>1</v>
      </c>
      <c r="C11">
        <v>6</v>
      </c>
      <c r="D11">
        <v>1</v>
      </c>
      <c r="E11">
        <v>4</v>
      </c>
      <c r="F11">
        <v>1</v>
      </c>
      <c r="G11">
        <v>3</v>
      </c>
      <c r="H11">
        <v>2</v>
      </c>
      <c r="I11">
        <v>10</v>
      </c>
      <c r="J11">
        <v>5</v>
      </c>
      <c r="K11">
        <v>6.1</v>
      </c>
      <c r="L11">
        <v>29</v>
      </c>
      <c r="M11">
        <v>65.3</v>
      </c>
      <c r="N11">
        <v>124.6</v>
      </c>
      <c r="O11">
        <v>32</v>
      </c>
      <c r="P11">
        <v>9</v>
      </c>
      <c r="Q11">
        <v>820</v>
      </c>
      <c r="R11">
        <v>8.0000000000000002E-3</v>
      </c>
      <c r="S11">
        <v>5.0000000000000001E-4</v>
      </c>
      <c r="T11">
        <v>0.22800000000000001</v>
      </c>
      <c r="U11">
        <v>1.6E-2</v>
      </c>
      <c r="V11">
        <v>5.0000000000000001E-4</v>
      </c>
      <c r="W11">
        <v>8.5999999999999993E-2</v>
      </c>
      <c r="X11">
        <v>12</v>
      </c>
    </row>
    <row r="12" spans="1:24">
      <c r="A12" t="s">
        <v>62</v>
      </c>
      <c r="B12" t="s">
        <v>76</v>
      </c>
      <c r="C12">
        <v>3</v>
      </c>
      <c r="D12">
        <v>4</v>
      </c>
      <c r="E12">
        <v>3</v>
      </c>
      <c r="F12">
        <v>2</v>
      </c>
      <c r="G12">
        <v>5</v>
      </c>
      <c r="H12">
        <v>5</v>
      </c>
      <c r="I12">
        <v>13</v>
      </c>
      <c r="J12">
        <v>5</v>
      </c>
      <c r="K12">
        <v>7.4</v>
      </c>
      <c r="L12">
        <v>25.8</v>
      </c>
      <c r="M12">
        <v>8.1999999999999993</v>
      </c>
      <c r="N12">
        <v>6.5</v>
      </c>
      <c r="O12">
        <v>55</v>
      </c>
      <c r="P12">
        <v>2.5</v>
      </c>
      <c r="Q12">
        <v>350</v>
      </c>
      <c r="R12">
        <v>5.0000000000000001E-4</v>
      </c>
      <c r="S12">
        <v>5.0000000000000001E-4</v>
      </c>
      <c r="T12">
        <v>0.53700000000000003</v>
      </c>
      <c r="U12">
        <v>6.0000000000000001E-3</v>
      </c>
      <c r="V12">
        <v>5.0000000000000001E-4</v>
      </c>
      <c r="W12">
        <v>2.1000000000000001E-2</v>
      </c>
      <c r="X12">
        <v>12</v>
      </c>
    </row>
    <row r="13" spans="1:24">
      <c r="A13" t="s">
        <v>63</v>
      </c>
      <c r="B13" t="s">
        <v>76</v>
      </c>
      <c r="C13">
        <v>5</v>
      </c>
      <c r="D13">
        <v>3</v>
      </c>
      <c r="E13">
        <v>1</v>
      </c>
      <c r="F13">
        <v>1</v>
      </c>
      <c r="G13">
        <v>3</v>
      </c>
      <c r="H13">
        <v>3</v>
      </c>
      <c r="I13">
        <v>13</v>
      </c>
      <c r="J13">
        <v>3</v>
      </c>
      <c r="K13">
        <v>7.2</v>
      </c>
      <c r="L13">
        <v>26</v>
      </c>
      <c r="M13">
        <v>7.9</v>
      </c>
      <c r="N13">
        <v>8.1999999999999993</v>
      </c>
      <c r="O13">
        <v>52</v>
      </c>
      <c r="P13">
        <v>3.1</v>
      </c>
      <c r="Q13">
        <v>390</v>
      </c>
      <c r="R13">
        <v>5.0000000000000001E-4</v>
      </c>
      <c r="S13">
        <v>5.0000000000000001E-4</v>
      </c>
      <c r="T13">
        <v>6.5000000000000002E-2</v>
      </c>
      <c r="U13">
        <v>5.0000000000000001E-4</v>
      </c>
      <c r="V13">
        <v>5.0000000000000001E-4</v>
      </c>
      <c r="W13">
        <v>3.6999999999999998E-2</v>
      </c>
      <c r="X13">
        <v>10</v>
      </c>
    </row>
    <row r="14" spans="1:24">
      <c r="A14" t="s">
        <v>64</v>
      </c>
      <c r="B14" t="s">
        <v>76</v>
      </c>
      <c r="C14">
        <v>1</v>
      </c>
      <c r="D14">
        <v>2</v>
      </c>
      <c r="E14">
        <v>2</v>
      </c>
      <c r="F14">
        <v>2</v>
      </c>
      <c r="G14">
        <v>4</v>
      </c>
      <c r="H14">
        <v>4</v>
      </c>
      <c r="I14">
        <v>13</v>
      </c>
      <c r="J14">
        <v>1</v>
      </c>
      <c r="K14">
        <v>7</v>
      </c>
      <c r="L14">
        <v>26.3</v>
      </c>
      <c r="M14">
        <v>7.5</v>
      </c>
      <c r="N14">
        <v>10.4</v>
      </c>
      <c r="O14">
        <v>49</v>
      </c>
      <c r="P14">
        <v>3.8</v>
      </c>
      <c r="Q14">
        <v>430</v>
      </c>
      <c r="R14">
        <v>5.0000000000000001E-4</v>
      </c>
      <c r="S14">
        <v>5.0000000000000001E-4</v>
      </c>
      <c r="T14">
        <v>0.106</v>
      </c>
      <c r="U14">
        <v>2E-3</v>
      </c>
      <c r="V14">
        <v>5.0000000000000001E-4</v>
      </c>
      <c r="W14">
        <v>5.8999999999999997E-2</v>
      </c>
      <c r="X14">
        <v>7</v>
      </c>
    </row>
    <row r="15" spans="1:24">
      <c r="A15" t="s">
        <v>65</v>
      </c>
      <c r="B15" t="s">
        <v>76</v>
      </c>
      <c r="C15">
        <v>5</v>
      </c>
      <c r="D15">
        <v>1</v>
      </c>
      <c r="E15">
        <v>2</v>
      </c>
      <c r="F15">
        <v>1</v>
      </c>
      <c r="G15">
        <v>6</v>
      </c>
      <c r="H15">
        <v>4</v>
      </c>
      <c r="I15">
        <v>6</v>
      </c>
      <c r="J15">
        <v>7</v>
      </c>
      <c r="K15">
        <v>6.9</v>
      </c>
      <c r="L15">
        <v>26.5</v>
      </c>
      <c r="M15">
        <v>7.1</v>
      </c>
      <c r="N15">
        <v>12.8</v>
      </c>
      <c r="O15">
        <v>46</v>
      </c>
      <c r="P15">
        <v>4.4000000000000004</v>
      </c>
      <c r="Q15">
        <v>470</v>
      </c>
      <c r="R15">
        <v>5.0000000000000001E-4</v>
      </c>
      <c r="S15">
        <v>5.0000000000000001E-4</v>
      </c>
      <c r="T15">
        <v>4.5999999999999999E-2</v>
      </c>
      <c r="U15">
        <v>1.0999999999999999E-2</v>
      </c>
      <c r="V15">
        <v>5.0000000000000001E-4</v>
      </c>
      <c r="W15">
        <v>1.9E-2</v>
      </c>
      <c r="X15">
        <v>9</v>
      </c>
    </row>
    <row r="16" spans="1:24">
      <c r="A16" t="s">
        <v>66</v>
      </c>
      <c r="B16" t="s">
        <v>76</v>
      </c>
      <c r="C16">
        <v>3</v>
      </c>
      <c r="D16">
        <v>3</v>
      </c>
      <c r="E16">
        <v>1</v>
      </c>
      <c r="F16">
        <v>2</v>
      </c>
      <c r="G16">
        <v>4</v>
      </c>
      <c r="H16">
        <v>3</v>
      </c>
      <c r="I16">
        <v>7</v>
      </c>
      <c r="J16">
        <v>3</v>
      </c>
      <c r="K16">
        <v>6.8</v>
      </c>
      <c r="L16">
        <v>26.8</v>
      </c>
      <c r="M16">
        <v>6.8</v>
      </c>
      <c r="N16">
        <v>15.3</v>
      </c>
      <c r="O16">
        <v>43</v>
      </c>
      <c r="P16">
        <v>5.2</v>
      </c>
      <c r="Q16">
        <v>510</v>
      </c>
      <c r="R16">
        <v>5.0000000000000001E-4</v>
      </c>
      <c r="S16">
        <v>5.0000000000000001E-4</v>
      </c>
      <c r="T16">
        <v>3.1E-2</v>
      </c>
      <c r="U16">
        <v>4.0000000000000001E-3</v>
      </c>
      <c r="V16">
        <v>5.0000000000000001E-4</v>
      </c>
      <c r="W16">
        <v>2.1999999999999999E-2</v>
      </c>
      <c r="X16">
        <v>10</v>
      </c>
    </row>
    <row r="17" spans="1:24">
      <c r="A17" t="s">
        <v>67</v>
      </c>
      <c r="B17" t="s">
        <v>76</v>
      </c>
      <c r="C17">
        <v>4</v>
      </c>
      <c r="D17">
        <v>3</v>
      </c>
      <c r="E17">
        <v>5</v>
      </c>
      <c r="F17">
        <v>0</v>
      </c>
      <c r="G17">
        <v>4</v>
      </c>
      <c r="H17">
        <v>4</v>
      </c>
      <c r="I17">
        <v>10</v>
      </c>
      <c r="J17">
        <v>5</v>
      </c>
      <c r="K17">
        <v>6.7</v>
      </c>
      <c r="L17">
        <v>27</v>
      </c>
      <c r="M17">
        <v>6.4</v>
      </c>
      <c r="N17">
        <v>18.600000000000001</v>
      </c>
      <c r="O17">
        <v>40</v>
      </c>
      <c r="P17">
        <v>6</v>
      </c>
      <c r="Q17">
        <v>560</v>
      </c>
      <c r="R17">
        <v>5.0000000000000001E-4</v>
      </c>
      <c r="S17">
        <v>5.0000000000000001E-4</v>
      </c>
      <c r="T17">
        <v>0.151</v>
      </c>
      <c r="U17">
        <v>5.0000000000000001E-4</v>
      </c>
      <c r="V17">
        <v>5.0000000000000001E-4</v>
      </c>
      <c r="W17">
        <v>2.9000000000000001E-2</v>
      </c>
      <c r="X17">
        <v>12</v>
      </c>
    </row>
    <row r="18" spans="1:24">
      <c r="A18" t="s">
        <v>68</v>
      </c>
      <c r="B18" t="s">
        <v>76</v>
      </c>
      <c r="C18">
        <v>3</v>
      </c>
      <c r="D18">
        <v>1</v>
      </c>
      <c r="E18">
        <v>3</v>
      </c>
      <c r="F18">
        <v>0</v>
      </c>
      <c r="G18">
        <v>5</v>
      </c>
      <c r="H18">
        <v>5</v>
      </c>
      <c r="I18">
        <v>10</v>
      </c>
      <c r="J18">
        <v>5</v>
      </c>
      <c r="K18">
        <v>6.5</v>
      </c>
      <c r="L18">
        <v>27.3</v>
      </c>
      <c r="M18">
        <v>6</v>
      </c>
      <c r="N18">
        <v>22.5</v>
      </c>
      <c r="O18">
        <v>37</v>
      </c>
      <c r="P18">
        <v>6.8</v>
      </c>
      <c r="Q18">
        <v>610</v>
      </c>
      <c r="R18">
        <v>5.0000000000000001E-4</v>
      </c>
      <c r="S18">
        <v>5.0000000000000001E-4</v>
      </c>
      <c r="T18">
        <v>0.13200000000000001</v>
      </c>
      <c r="U18">
        <v>1E-3</v>
      </c>
      <c r="V18">
        <v>5.0000000000000001E-4</v>
      </c>
      <c r="W18">
        <v>3.2000000000000001E-2</v>
      </c>
      <c r="X18">
        <v>7</v>
      </c>
    </row>
    <row r="19" spans="1:24">
      <c r="A19" t="s">
        <v>69</v>
      </c>
      <c r="B19" t="s">
        <v>76</v>
      </c>
      <c r="C19">
        <v>4</v>
      </c>
      <c r="D19">
        <v>3</v>
      </c>
      <c r="E19">
        <v>1</v>
      </c>
      <c r="F19">
        <v>5</v>
      </c>
      <c r="G19">
        <v>4</v>
      </c>
      <c r="H19">
        <v>3</v>
      </c>
      <c r="I19">
        <v>6</v>
      </c>
      <c r="J19">
        <v>4</v>
      </c>
      <c r="K19">
        <v>6.4</v>
      </c>
      <c r="L19">
        <v>27.6</v>
      </c>
      <c r="M19">
        <v>5.7</v>
      </c>
      <c r="N19">
        <v>26.8</v>
      </c>
      <c r="O19">
        <v>35</v>
      </c>
      <c r="P19">
        <v>7.5</v>
      </c>
      <c r="Q19">
        <v>670</v>
      </c>
      <c r="R19">
        <v>5.0000000000000001E-4</v>
      </c>
      <c r="S19">
        <v>5.0000000000000001E-4</v>
      </c>
      <c r="T19">
        <v>5.2999999999999999E-2</v>
      </c>
      <c r="U19">
        <v>5.0000000000000001E-4</v>
      </c>
      <c r="V19">
        <v>5.0000000000000001E-4</v>
      </c>
      <c r="W19">
        <v>4.7E-2</v>
      </c>
      <c r="X19">
        <v>13</v>
      </c>
    </row>
    <row r="20" spans="1:24">
      <c r="A20" t="s">
        <v>70</v>
      </c>
      <c r="B20" t="s">
        <v>76</v>
      </c>
      <c r="C20">
        <v>2</v>
      </c>
      <c r="D20">
        <v>3</v>
      </c>
      <c r="E20">
        <v>2</v>
      </c>
      <c r="F20">
        <v>3</v>
      </c>
      <c r="G20">
        <v>5</v>
      </c>
      <c r="H20">
        <v>4</v>
      </c>
      <c r="I20">
        <v>5</v>
      </c>
      <c r="J20">
        <v>5</v>
      </c>
      <c r="K20">
        <v>6.3</v>
      </c>
      <c r="L20">
        <v>27.8</v>
      </c>
      <c r="M20">
        <v>5.3</v>
      </c>
      <c r="N20">
        <v>30.4</v>
      </c>
      <c r="O20">
        <v>33</v>
      </c>
      <c r="P20">
        <v>8.1</v>
      </c>
      <c r="Q20">
        <v>720</v>
      </c>
      <c r="R20">
        <v>1.4E-2</v>
      </c>
      <c r="S20">
        <v>5.0000000000000001E-4</v>
      </c>
      <c r="T20">
        <v>0.13400000000000001</v>
      </c>
      <c r="U20">
        <v>7.0000000000000001E-3</v>
      </c>
      <c r="V20">
        <v>5.0000000000000001E-4</v>
      </c>
      <c r="W20">
        <v>3.9E-2</v>
      </c>
      <c r="X20">
        <v>10</v>
      </c>
    </row>
    <row r="21" spans="1:24">
      <c r="A21" t="s">
        <v>71</v>
      </c>
      <c r="B21" t="s">
        <v>76</v>
      </c>
      <c r="C21">
        <v>6</v>
      </c>
      <c r="D21">
        <v>2</v>
      </c>
      <c r="E21">
        <v>0</v>
      </c>
      <c r="F21">
        <v>2</v>
      </c>
      <c r="G21">
        <v>1</v>
      </c>
      <c r="H21">
        <v>6</v>
      </c>
      <c r="I21">
        <v>9</v>
      </c>
      <c r="J21">
        <v>5</v>
      </c>
      <c r="K21">
        <v>6.2</v>
      </c>
      <c r="L21">
        <v>28</v>
      </c>
      <c r="M21">
        <v>5</v>
      </c>
      <c r="N21">
        <v>34.1</v>
      </c>
      <c r="O21">
        <v>30</v>
      </c>
      <c r="P21">
        <v>8.9</v>
      </c>
      <c r="Q21">
        <v>780</v>
      </c>
      <c r="R21">
        <v>6.0000000000000001E-3</v>
      </c>
      <c r="S21">
        <v>5.0000000000000001E-4</v>
      </c>
      <c r="T21">
        <v>0.11899999999999999</v>
      </c>
      <c r="U21">
        <v>5.0000000000000001E-3</v>
      </c>
      <c r="V21">
        <v>5.0000000000000001E-4</v>
      </c>
      <c r="W21">
        <v>4.1000000000000002E-2</v>
      </c>
      <c r="X21">
        <v>10</v>
      </c>
    </row>
    <row r="22" spans="1:24">
      <c r="A22" t="s">
        <v>62</v>
      </c>
      <c r="B22" t="s">
        <v>77</v>
      </c>
      <c r="C22">
        <v>1</v>
      </c>
      <c r="D22">
        <v>2</v>
      </c>
      <c r="E22">
        <v>4</v>
      </c>
      <c r="F22">
        <v>1</v>
      </c>
      <c r="G22">
        <v>4</v>
      </c>
      <c r="H22">
        <v>2</v>
      </c>
      <c r="I22">
        <v>6</v>
      </c>
      <c r="J22">
        <v>3</v>
      </c>
      <c r="K22">
        <v>7.1</v>
      </c>
      <c r="L22">
        <v>26.2</v>
      </c>
      <c r="M22">
        <v>7.8</v>
      </c>
      <c r="N22">
        <v>9.4</v>
      </c>
      <c r="O22">
        <v>72</v>
      </c>
      <c r="P22">
        <v>3.2</v>
      </c>
      <c r="Q22">
        <v>410</v>
      </c>
      <c r="R22">
        <v>5.0000000000000001E-4</v>
      </c>
      <c r="S22">
        <v>5.0000000000000001E-4</v>
      </c>
      <c r="T22">
        <v>0.223</v>
      </c>
      <c r="U22">
        <v>8.9999999999999993E-3</v>
      </c>
      <c r="V22">
        <v>5.0000000000000001E-4</v>
      </c>
      <c r="W22">
        <v>5.8000000000000003E-2</v>
      </c>
      <c r="X22">
        <v>8</v>
      </c>
    </row>
    <row r="23" spans="1:24">
      <c r="A23" t="s">
        <v>63</v>
      </c>
      <c r="B23" t="s">
        <v>77</v>
      </c>
      <c r="C23">
        <v>6</v>
      </c>
      <c r="D23">
        <v>0</v>
      </c>
      <c r="E23">
        <v>7</v>
      </c>
      <c r="F23">
        <v>2</v>
      </c>
      <c r="G23">
        <v>2</v>
      </c>
      <c r="H23">
        <v>4</v>
      </c>
      <c r="I23">
        <v>9</v>
      </c>
      <c r="J23">
        <v>2</v>
      </c>
      <c r="K23">
        <v>7</v>
      </c>
      <c r="L23">
        <v>26.5</v>
      </c>
      <c r="M23">
        <v>7.4</v>
      </c>
      <c r="N23">
        <v>12.6</v>
      </c>
      <c r="O23">
        <v>69</v>
      </c>
      <c r="P23">
        <v>4</v>
      </c>
      <c r="Q23">
        <v>450</v>
      </c>
      <c r="R23">
        <v>3.0000000000000001E-3</v>
      </c>
      <c r="S23">
        <v>5.0000000000000001E-4</v>
      </c>
      <c r="T23">
        <v>0.17799999999999999</v>
      </c>
      <c r="U23">
        <v>1.4E-2</v>
      </c>
      <c r="V23">
        <v>5.0000000000000001E-4</v>
      </c>
      <c r="W23">
        <v>8.1000000000000003E-2</v>
      </c>
      <c r="X23">
        <v>15</v>
      </c>
    </row>
    <row r="24" spans="1:24">
      <c r="A24" t="s">
        <v>64</v>
      </c>
      <c r="B24" t="s">
        <v>77</v>
      </c>
      <c r="C24">
        <v>0</v>
      </c>
      <c r="D24">
        <v>2</v>
      </c>
      <c r="E24">
        <v>2</v>
      </c>
      <c r="F24">
        <v>2</v>
      </c>
      <c r="G24">
        <v>3</v>
      </c>
      <c r="H24">
        <v>3</v>
      </c>
      <c r="I24">
        <v>5</v>
      </c>
      <c r="J24">
        <v>5</v>
      </c>
      <c r="K24">
        <v>6.9</v>
      </c>
      <c r="L24">
        <v>26.8</v>
      </c>
      <c r="M24">
        <v>7</v>
      </c>
      <c r="N24">
        <v>15.8</v>
      </c>
      <c r="O24">
        <v>65</v>
      </c>
      <c r="P24">
        <v>4.9000000000000004</v>
      </c>
      <c r="Q24">
        <v>500</v>
      </c>
      <c r="R24">
        <v>5.0000000000000001E-4</v>
      </c>
      <c r="S24">
        <v>5.0000000000000001E-4</v>
      </c>
      <c r="T24">
        <v>9.1999999999999998E-2</v>
      </c>
      <c r="U24">
        <v>6.0000000000000001E-3</v>
      </c>
      <c r="V24">
        <v>5.0000000000000001E-4</v>
      </c>
      <c r="W24">
        <v>6.3E-2</v>
      </c>
      <c r="X24">
        <v>7</v>
      </c>
    </row>
    <row r="25" spans="1:24">
      <c r="A25" t="s">
        <v>65</v>
      </c>
      <c r="B25" t="s">
        <v>77</v>
      </c>
      <c r="C25">
        <v>4</v>
      </c>
      <c r="D25">
        <v>4</v>
      </c>
      <c r="E25">
        <v>3</v>
      </c>
      <c r="F25">
        <v>2</v>
      </c>
      <c r="G25">
        <v>6</v>
      </c>
      <c r="H25">
        <v>2</v>
      </c>
      <c r="I25">
        <v>10</v>
      </c>
      <c r="J25">
        <v>4</v>
      </c>
      <c r="K25">
        <v>6.8</v>
      </c>
      <c r="L25">
        <v>27</v>
      </c>
      <c r="M25">
        <v>6.7</v>
      </c>
      <c r="N25">
        <v>19.3</v>
      </c>
      <c r="O25">
        <v>61</v>
      </c>
      <c r="P25">
        <v>5.8</v>
      </c>
      <c r="Q25">
        <v>550</v>
      </c>
      <c r="R25">
        <v>5.0000000000000001E-4</v>
      </c>
      <c r="S25">
        <v>5.0000000000000001E-4</v>
      </c>
      <c r="T25">
        <v>0.13500000000000001</v>
      </c>
      <c r="U25">
        <v>1.0999999999999999E-2</v>
      </c>
      <c r="V25">
        <v>5.0000000000000001E-4</v>
      </c>
      <c r="W25">
        <v>7.0999999999999994E-2</v>
      </c>
      <c r="X25">
        <v>13</v>
      </c>
    </row>
    <row r="26" spans="1:24">
      <c r="A26" t="s">
        <v>66</v>
      </c>
      <c r="B26" t="s">
        <v>77</v>
      </c>
      <c r="C26">
        <v>4</v>
      </c>
      <c r="D26">
        <v>2</v>
      </c>
      <c r="E26">
        <v>3</v>
      </c>
      <c r="F26">
        <v>0</v>
      </c>
      <c r="G26">
        <v>6</v>
      </c>
      <c r="H26">
        <v>2</v>
      </c>
      <c r="I26">
        <v>8</v>
      </c>
      <c r="J26">
        <v>6</v>
      </c>
      <c r="K26">
        <v>6.6</v>
      </c>
      <c r="L26">
        <v>27.4</v>
      </c>
      <c r="M26">
        <v>6.3</v>
      </c>
      <c r="N26">
        <v>24</v>
      </c>
      <c r="O26">
        <v>57</v>
      </c>
      <c r="P26">
        <v>6.7</v>
      </c>
      <c r="Q26">
        <v>610</v>
      </c>
      <c r="R26">
        <v>5.0000000000000001E-4</v>
      </c>
      <c r="S26">
        <v>5.0000000000000001E-4</v>
      </c>
      <c r="T26">
        <v>0.11799999999999999</v>
      </c>
      <c r="U26">
        <v>8.0000000000000002E-3</v>
      </c>
      <c r="V26">
        <v>5.0000000000000001E-4</v>
      </c>
      <c r="W26">
        <v>4.9000000000000002E-2</v>
      </c>
      <c r="X26">
        <v>10</v>
      </c>
    </row>
    <row r="27" spans="1:24">
      <c r="A27" t="s">
        <v>67</v>
      </c>
      <c r="B27" t="s">
        <v>77</v>
      </c>
      <c r="C27">
        <v>2</v>
      </c>
      <c r="D27">
        <v>5</v>
      </c>
      <c r="E27">
        <v>1</v>
      </c>
      <c r="F27">
        <v>3</v>
      </c>
      <c r="G27">
        <v>2</v>
      </c>
      <c r="H27">
        <v>5</v>
      </c>
      <c r="I27">
        <v>8</v>
      </c>
      <c r="J27">
        <v>2</v>
      </c>
      <c r="K27">
        <v>6.5</v>
      </c>
      <c r="L27">
        <v>27.7</v>
      </c>
      <c r="M27">
        <v>5.9</v>
      </c>
      <c r="N27">
        <v>29.5</v>
      </c>
      <c r="O27">
        <v>53</v>
      </c>
      <c r="P27">
        <v>7.6</v>
      </c>
      <c r="Q27">
        <v>670</v>
      </c>
      <c r="R27">
        <v>5.0000000000000001E-4</v>
      </c>
      <c r="S27">
        <v>5.0000000000000001E-4</v>
      </c>
      <c r="T27">
        <v>0.16400000000000001</v>
      </c>
      <c r="U27">
        <v>1.2E-2</v>
      </c>
      <c r="V27">
        <v>5.0000000000000001E-4</v>
      </c>
      <c r="W27">
        <v>5.3999999999999999E-2</v>
      </c>
      <c r="X27">
        <v>11</v>
      </c>
    </row>
    <row r="28" spans="1:24">
      <c r="A28" t="s">
        <v>68</v>
      </c>
      <c r="B28" t="s">
        <v>77</v>
      </c>
      <c r="C28">
        <v>6</v>
      </c>
      <c r="D28">
        <v>6</v>
      </c>
      <c r="E28">
        <v>4</v>
      </c>
      <c r="F28">
        <v>2</v>
      </c>
      <c r="G28">
        <v>5</v>
      </c>
      <c r="H28">
        <v>3</v>
      </c>
      <c r="I28">
        <v>11</v>
      </c>
      <c r="J28">
        <v>2</v>
      </c>
      <c r="K28">
        <v>6.4</v>
      </c>
      <c r="L28">
        <v>28</v>
      </c>
      <c r="M28">
        <v>5.5</v>
      </c>
      <c r="N28">
        <v>35.799999999999997</v>
      </c>
      <c r="O28">
        <v>49</v>
      </c>
      <c r="P28">
        <v>8.5</v>
      </c>
      <c r="Q28">
        <v>730</v>
      </c>
      <c r="R28">
        <v>7.0000000000000001E-3</v>
      </c>
      <c r="S28">
        <v>5.0000000000000001E-4</v>
      </c>
      <c r="T28">
        <v>0.20699999999999999</v>
      </c>
      <c r="U28">
        <v>1.4999999999999999E-2</v>
      </c>
      <c r="V28">
        <v>5.0000000000000001E-4</v>
      </c>
      <c r="W28">
        <v>9.6000000000000002E-2</v>
      </c>
      <c r="X28">
        <v>18</v>
      </c>
    </row>
    <row r="29" spans="1:24">
      <c r="A29" t="s">
        <v>69</v>
      </c>
      <c r="B29" t="s">
        <v>77</v>
      </c>
      <c r="C29">
        <v>5</v>
      </c>
      <c r="D29">
        <v>1</v>
      </c>
      <c r="E29">
        <v>2</v>
      </c>
      <c r="F29">
        <v>2</v>
      </c>
      <c r="G29">
        <v>4</v>
      </c>
      <c r="H29">
        <v>3</v>
      </c>
      <c r="I29">
        <v>11</v>
      </c>
      <c r="J29">
        <v>2</v>
      </c>
      <c r="K29">
        <v>6.3</v>
      </c>
      <c r="L29">
        <v>28.3</v>
      </c>
      <c r="M29">
        <v>5.0999999999999996</v>
      </c>
      <c r="N29">
        <v>41.2</v>
      </c>
      <c r="O29">
        <v>45</v>
      </c>
      <c r="P29">
        <v>9.3000000000000007</v>
      </c>
      <c r="Q29">
        <v>790</v>
      </c>
      <c r="R29">
        <v>5.0000000000000001E-4</v>
      </c>
      <c r="S29">
        <v>5.0000000000000001E-4</v>
      </c>
      <c r="T29">
        <v>0.254</v>
      </c>
      <c r="U29">
        <v>0.01</v>
      </c>
      <c r="V29">
        <v>5.0000000000000001E-4</v>
      </c>
      <c r="W29">
        <v>7.3999999999999996E-2</v>
      </c>
      <c r="X29">
        <v>10</v>
      </c>
    </row>
    <row r="30" spans="1:24">
      <c r="A30" t="s">
        <v>70</v>
      </c>
      <c r="B30" t="s">
        <v>77</v>
      </c>
      <c r="C30">
        <v>2</v>
      </c>
      <c r="D30">
        <v>4</v>
      </c>
      <c r="E30">
        <v>3</v>
      </c>
      <c r="F30">
        <v>5</v>
      </c>
      <c r="G30">
        <v>3</v>
      </c>
      <c r="H30">
        <v>5</v>
      </c>
      <c r="I30">
        <v>12</v>
      </c>
      <c r="J30">
        <v>1</v>
      </c>
      <c r="K30">
        <v>6.2</v>
      </c>
      <c r="L30">
        <v>28.5</v>
      </c>
      <c r="M30">
        <v>4.8</v>
      </c>
      <c r="N30">
        <v>48.6</v>
      </c>
      <c r="O30">
        <v>41</v>
      </c>
      <c r="P30">
        <v>10.199999999999999</v>
      </c>
      <c r="Q30">
        <v>850</v>
      </c>
      <c r="R30">
        <v>1.0999999999999999E-2</v>
      </c>
      <c r="S30">
        <v>5.0000000000000001E-4</v>
      </c>
      <c r="T30">
        <v>0.28599999999999998</v>
      </c>
      <c r="U30">
        <v>1.7999999999999999E-2</v>
      </c>
      <c r="V30">
        <v>5.0000000000000001E-4</v>
      </c>
      <c r="W30">
        <v>0.13100000000000001</v>
      </c>
      <c r="X30">
        <v>14</v>
      </c>
    </row>
    <row r="31" spans="1:24">
      <c r="A31" t="s">
        <v>71</v>
      </c>
      <c r="B31" t="s">
        <v>77</v>
      </c>
      <c r="C31">
        <v>4</v>
      </c>
      <c r="D31">
        <v>5</v>
      </c>
      <c r="E31">
        <v>1</v>
      </c>
      <c r="F31">
        <v>0</v>
      </c>
      <c r="G31">
        <v>5</v>
      </c>
      <c r="H31">
        <v>5</v>
      </c>
      <c r="I31">
        <v>7</v>
      </c>
      <c r="J31">
        <v>1</v>
      </c>
      <c r="K31">
        <v>6</v>
      </c>
      <c r="L31">
        <v>28.8</v>
      </c>
      <c r="M31">
        <v>4.5</v>
      </c>
      <c r="N31">
        <v>56.3</v>
      </c>
      <c r="O31">
        <v>38</v>
      </c>
      <c r="P31">
        <v>11</v>
      </c>
      <c r="Q31">
        <v>910</v>
      </c>
      <c r="R31">
        <v>5.0000000000000001E-3</v>
      </c>
      <c r="S31">
        <v>5.0000000000000001E-4</v>
      </c>
      <c r="T31">
        <v>0.19600000000000001</v>
      </c>
      <c r="U31">
        <v>1.2999999999999999E-2</v>
      </c>
      <c r="V31">
        <v>5.0000000000000001E-4</v>
      </c>
      <c r="W31">
        <v>6.9000000000000006E-2</v>
      </c>
      <c r="X31">
        <v>11</v>
      </c>
    </row>
    <row r="34" spans="1:7">
      <c r="A34" t="s">
        <v>210</v>
      </c>
      <c r="B34" t="s">
        <v>211</v>
      </c>
    </row>
    <row r="35" spans="1:7">
      <c r="A35" t="s">
        <v>212</v>
      </c>
      <c r="B35">
        <f>SUM(C2:J31)</f>
        <v>877</v>
      </c>
    </row>
    <row r="36" spans="1:7">
      <c r="A36" t="s">
        <v>213</v>
      </c>
      <c r="B36">
        <f>SUM(X2:X31)</f>
        <v>281</v>
      </c>
    </row>
    <row r="37" spans="1:7">
      <c r="A37" t="s">
        <v>214</v>
      </c>
      <c r="B37" s="42">
        <f>AVERAGE(K2:K31)</f>
        <v>6.6266666666666669</v>
      </c>
    </row>
    <row r="38" spans="1:7">
      <c r="A38" t="s">
        <v>215</v>
      </c>
      <c r="B38" s="43">
        <f>AVERAGE(M2:M31)</f>
        <v>21.066666666666659</v>
      </c>
    </row>
    <row r="39" spans="1:7">
      <c r="A39" t="s">
        <v>216</v>
      </c>
      <c r="B39" s="43">
        <f>AVERAGE(L2:L31)</f>
        <v>27.396666666666665</v>
      </c>
    </row>
    <row r="40" spans="1:7">
      <c r="A40" t="s">
        <v>217</v>
      </c>
      <c r="B40">
        <f>AVERAGE(Q2:Q31)</f>
        <v>606</v>
      </c>
    </row>
    <row r="41" spans="1:7">
      <c r="A41" t="s">
        <v>218</v>
      </c>
      <c r="B41">
        <f>MAX(N2:N31)</f>
        <v>124.6</v>
      </c>
    </row>
    <row r="42" spans="1:7">
      <c r="A42" t="s">
        <v>219</v>
      </c>
      <c r="B42" s="43">
        <f>AVERAGE(T2:T31)</f>
        <v>0.17206666666666665</v>
      </c>
    </row>
    <row r="43" spans="1:7">
      <c r="A43" t="s">
        <v>220</v>
      </c>
      <c r="B43" s="47">
        <f>((SUM(X22:X31)-SUM(X2:X11))/SUM(X2:X11))</f>
        <v>0.828125</v>
      </c>
    </row>
    <row r="44" spans="1:7">
      <c r="A44" t="s">
        <v>221</v>
      </c>
      <c r="B44">
        <v>0</v>
      </c>
    </row>
    <row r="45" spans="1:7">
      <c r="A45" t="s">
        <v>222</v>
      </c>
      <c r="G45" t="s">
        <v>233</v>
      </c>
    </row>
    <row r="46" spans="1:7">
      <c r="A46" t="s">
        <v>223</v>
      </c>
      <c r="B46">
        <f>MAX('MASTER PLANKTON'!AH2:AH105)</f>
        <v>20</v>
      </c>
    </row>
    <row r="100" spans="2:2">
      <c r="B100" t="s">
        <v>233</v>
      </c>
    </row>
  </sheetData>
  <pageMargins left="0.7" right="0.7" top="0.75" bottom="0.75" header="0.3" footer="0.3"/>
  <drawing r:id="rId1"/>
  <tableParts count="2">
    <tablePart r:id="rId2"/>
    <tablePart r:id="rId3"/>
  </tableParts>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'GRANDMASTER SHEET (2)'!B35:B35</xm:f>
              <xm:sqref>A50</xm:sqref>
            </x14:sparkline>
          </x14:sparklines>
        </x14:sparklineGroup>
      </x14:sparklineGroup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72"/>
  <sheetViews>
    <sheetView topLeftCell="A31" zoomScale="85" zoomScaleNormal="85" workbookViewId="0">
      <selection activeCell="B51" sqref="B51"/>
    </sheetView>
  </sheetViews>
  <sheetFormatPr defaultRowHeight="15"/>
  <cols>
    <col min="1" max="1" width="15.28515625" customWidth="1"/>
    <col min="2" max="2" width="27.85546875" customWidth="1"/>
    <col min="3" max="3" width="29.28515625" customWidth="1"/>
    <col min="4" max="4" width="30.42578125" bestFit="1" customWidth="1"/>
  </cols>
  <sheetData>
    <row r="3" spans="1:6">
      <c r="A3" t="s">
        <v>203</v>
      </c>
      <c r="B3" t="s">
        <v>204</v>
      </c>
      <c r="C3" t="s">
        <v>205</v>
      </c>
    </row>
    <row r="4" spans="1:6">
      <c r="A4" s="34">
        <v>259</v>
      </c>
      <c r="B4" s="34">
        <v>317</v>
      </c>
      <c r="C4" s="34">
        <v>306</v>
      </c>
    </row>
    <row r="8" spans="1:6">
      <c r="F8" t="s">
        <v>206</v>
      </c>
    </row>
    <row r="24" spans="1:2">
      <c r="A24" s="32" t="s">
        <v>78</v>
      </c>
      <c r="B24" t="s">
        <v>202</v>
      </c>
    </row>
    <row r="25" spans="1:2">
      <c r="A25" s="33" t="s">
        <v>3</v>
      </c>
      <c r="B25" s="34">
        <v>92</v>
      </c>
    </row>
    <row r="26" spans="1:2">
      <c r="A26" s="33" t="s">
        <v>21</v>
      </c>
      <c r="B26" s="34">
        <v>68</v>
      </c>
    </row>
    <row r="27" spans="1:2">
      <c r="A27" s="33" t="s">
        <v>90</v>
      </c>
      <c r="B27" s="34">
        <v>118</v>
      </c>
    </row>
    <row r="28" spans="1:2">
      <c r="A28" s="33" t="s">
        <v>91</v>
      </c>
      <c r="B28" s="34">
        <v>107</v>
      </c>
    </row>
    <row r="29" spans="1:2">
      <c r="A29" s="33" t="s">
        <v>38</v>
      </c>
      <c r="B29" s="34">
        <v>77</v>
      </c>
    </row>
    <row r="30" spans="1:2">
      <c r="A30" s="33" t="s">
        <v>51</v>
      </c>
      <c r="B30" s="34">
        <v>44</v>
      </c>
    </row>
    <row r="31" spans="1:2">
      <c r="A31" s="33" t="s">
        <v>93</v>
      </c>
      <c r="B31" s="34">
        <v>107</v>
      </c>
    </row>
    <row r="32" spans="1:2">
      <c r="A32" s="33" t="s">
        <v>92</v>
      </c>
      <c r="B32" s="34">
        <v>269</v>
      </c>
    </row>
    <row r="33" spans="1:2">
      <c r="A33" s="33" t="s">
        <v>83</v>
      </c>
      <c r="B33" s="34">
        <v>882</v>
      </c>
    </row>
    <row r="37" spans="1:2">
      <c r="A37" s="32" t="s">
        <v>199</v>
      </c>
      <c r="B37" t="s">
        <v>0</v>
      </c>
    </row>
    <row r="39" spans="1:2">
      <c r="A39" s="32" t="s">
        <v>78</v>
      </c>
      <c r="B39" t="s">
        <v>202</v>
      </c>
    </row>
    <row r="40" spans="1:2">
      <c r="A40" s="33" t="s">
        <v>79</v>
      </c>
      <c r="B40" s="34">
        <v>9</v>
      </c>
    </row>
    <row r="41" spans="1:2">
      <c r="A41" s="33" t="s">
        <v>23</v>
      </c>
      <c r="B41" s="34">
        <v>8</v>
      </c>
    </row>
    <row r="42" spans="1:2">
      <c r="A42" s="33" t="s">
        <v>4</v>
      </c>
      <c r="B42" s="34">
        <v>20</v>
      </c>
    </row>
    <row r="43" spans="1:2">
      <c r="A43" s="33" t="s">
        <v>80</v>
      </c>
      <c r="B43" s="34">
        <v>8</v>
      </c>
    </row>
    <row r="44" spans="1:2">
      <c r="A44" s="33" t="s">
        <v>10</v>
      </c>
      <c r="B44" s="34">
        <v>8</v>
      </c>
    </row>
    <row r="45" spans="1:2">
      <c r="A45" s="33" t="s">
        <v>81</v>
      </c>
      <c r="B45" s="34">
        <v>8</v>
      </c>
    </row>
    <row r="46" spans="1:2">
      <c r="A46" s="33" t="s">
        <v>15</v>
      </c>
      <c r="B46" s="34">
        <v>8</v>
      </c>
    </row>
    <row r="47" spans="1:2">
      <c r="A47" s="33" t="s">
        <v>43</v>
      </c>
      <c r="B47" s="34">
        <v>16</v>
      </c>
    </row>
    <row r="48" spans="1:2">
      <c r="A48" s="33" t="s">
        <v>45</v>
      </c>
      <c r="B48" s="34">
        <v>8</v>
      </c>
    </row>
    <row r="49" spans="1:2">
      <c r="A49" s="33" t="s">
        <v>82</v>
      </c>
      <c r="B49" s="34">
        <v>10</v>
      </c>
    </row>
    <row r="50" spans="1:2">
      <c r="A50" s="33" t="s">
        <v>83</v>
      </c>
      <c r="B50" s="34">
        <v>103</v>
      </c>
    </row>
    <row r="53" spans="1:2">
      <c r="A53" s="32" t="s">
        <v>199</v>
      </c>
      <c r="B53" t="s">
        <v>200</v>
      </c>
    </row>
    <row r="55" spans="1:2">
      <c r="A55" s="32" t="s">
        <v>78</v>
      </c>
      <c r="B55" t="s">
        <v>202</v>
      </c>
    </row>
    <row r="56" spans="1:2">
      <c r="A56" s="33" t="s">
        <v>180</v>
      </c>
      <c r="B56" s="34">
        <v>14</v>
      </c>
    </row>
    <row r="57" spans="1:2">
      <c r="A57" s="33" t="s">
        <v>170</v>
      </c>
      <c r="B57" s="34">
        <v>14</v>
      </c>
    </row>
    <row r="58" spans="1:2">
      <c r="A58" s="33" t="s">
        <v>177</v>
      </c>
      <c r="B58" s="34">
        <v>14</v>
      </c>
    </row>
    <row r="59" spans="1:2">
      <c r="A59" s="33" t="s">
        <v>161</v>
      </c>
      <c r="B59" s="34">
        <v>14</v>
      </c>
    </row>
    <row r="60" spans="1:2">
      <c r="A60" s="33" t="s">
        <v>158</v>
      </c>
      <c r="B60" s="34">
        <v>15</v>
      </c>
    </row>
    <row r="61" spans="1:2">
      <c r="A61" s="33" t="s">
        <v>155</v>
      </c>
      <c r="B61" s="34">
        <v>14</v>
      </c>
    </row>
    <row r="62" spans="1:2">
      <c r="A62" s="33" t="s">
        <v>149</v>
      </c>
      <c r="B62" s="34">
        <v>14</v>
      </c>
    </row>
    <row r="63" spans="1:2">
      <c r="A63" s="33" t="s">
        <v>165</v>
      </c>
      <c r="B63" s="34">
        <v>15</v>
      </c>
    </row>
    <row r="64" spans="1:2">
      <c r="A64" s="33" t="s">
        <v>160</v>
      </c>
      <c r="B64" s="34">
        <v>15</v>
      </c>
    </row>
    <row r="65" spans="1:2">
      <c r="A65" s="33" t="s">
        <v>189</v>
      </c>
      <c r="B65" s="34">
        <v>14</v>
      </c>
    </row>
    <row r="66" spans="1:2">
      <c r="A66" s="33" t="s">
        <v>181</v>
      </c>
      <c r="B66" s="34">
        <v>14</v>
      </c>
    </row>
    <row r="67" spans="1:2">
      <c r="A67" s="33" t="s">
        <v>179</v>
      </c>
      <c r="B67" s="34">
        <v>15</v>
      </c>
    </row>
    <row r="68" spans="1:2">
      <c r="A68" s="33" t="s">
        <v>159</v>
      </c>
      <c r="B68" s="34">
        <v>15</v>
      </c>
    </row>
    <row r="69" spans="1:2">
      <c r="A69" s="33" t="s">
        <v>150</v>
      </c>
      <c r="B69" s="34">
        <v>14</v>
      </c>
    </row>
    <row r="70" spans="1:2">
      <c r="A70" s="33" t="s">
        <v>195</v>
      </c>
      <c r="B70" s="34">
        <v>15</v>
      </c>
    </row>
    <row r="71" spans="1:2">
      <c r="A71" s="33" t="s">
        <v>176</v>
      </c>
      <c r="B71" s="34">
        <v>14</v>
      </c>
    </row>
    <row r="72" spans="1:2">
      <c r="A72" s="33" t="s">
        <v>83</v>
      </c>
      <c r="B72" s="34">
        <v>230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8"/>
  <sheetViews>
    <sheetView topLeftCell="A156" zoomScale="85" zoomScaleNormal="85" workbookViewId="0">
      <selection activeCell="B178" sqref="B178"/>
    </sheetView>
  </sheetViews>
  <sheetFormatPr defaultRowHeight="15"/>
  <cols>
    <col min="1" max="1" width="32" customWidth="1"/>
    <col min="2" max="2" width="16.28515625" customWidth="1"/>
    <col min="3" max="6" width="11.28515625" customWidth="1"/>
    <col min="7" max="7" width="16.7109375" customWidth="1"/>
    <col min="8" max="8" width="14.85546875" bestFit="1" customWidth="1"/>
    <col min="9" max="9" width="15.5703125" customWidth="1"/>
    <col min="11" max="11" width="9.140625" customWidth="1"/>
  </cols>
  <sheetData>
    <row r="3" spans="1:4">
      <c r="A3" s="32" t="s">
        <v>124</v>
      </c>
      <c r="B3" s="32" t="s">
        <v>209</v>
      </c>
    </row>
    <row r="4" spans="1:4">
      <c r="A4" s="32" t="s">
        <v>78</v>
      </c>
      <c r="B4" t="s">
        <v>1</v>
      </c>
      <c r="C4" t="s">
        <v>76</v>
      </c>
      <c r="D4" t="s">
        <v>83</v>
      </c>
    </row>
    <row r="5" spans="1:4">
      <c r="A5" s="33" t="s">
        <v>62</v>
      </c>
      <c r="B5" s="34">
        <v>7.2</v>
      </c>
      <c r="C5" s="34">
        <v>7.4</v>
      </c>
      <c r="D5" s="34">
        <v>14.600000000000001</v>
      </c>
    </row>
    <row r="6" spans="1:4">
      <c r="A6" s="33" t="s">
        <v>63</v>
      </c>
      <c r="B6" s="34">
        <v>7</v>
      </c>
      <c r="C6" s="34">
        <v>7.2</v>
      </c>
      <c r="D6" s="34">
        <v>14.2</v>
      </c>
    </row>
    <row r="7" spans="1:4">
      <c r="A7" s="33" t="s">
        <v>64</v>
      </c>
      <c r="B7" s="34">
        <v>6.8</v>
      </c>
      <c r="C7" s="34">
        <v>7</v>
      </c>
      <c r="D7" s="34">
        <v>13.8</v>
      </c>
    </row>
    <row r="8" spans="1:4">
      <c r="A8" s="33" t="s">
        <v>65</v>
      </c>
      <c r="B8" s="34">
        <v>6.7</v>
      </c>
      <c r="C8" s="34">
        <v>6.9</v>
      </c>
      <c r="D8" s="34">
        <v>13.600000000000001</v>
      </c>
    </row>
    <row r="9" spans="1:4">
      <c r="A9" s="33" t="s">
        <v>66</v>
      </c>
      <c r="B9" s="34">
        <v>6.6</v>
      </c>
      <c r="C9" s="34">
        <v>6.8</v>
      </c>
      <c r="D9" s="34">
        <v>13.399999999999999</v>
      </c>
    </row>
    <row r="10" spans="1:4">
      <c r="A10" s="33" t="s">
        <v>67</v>
      </c>
      <c r="B10" s="34">
        <v>6.5</v>
      </c>
      <c r="C10" s="34">
        <v>6.7</v>
      </c>
      <c r="D10" s="34">
        <v>13.2</v>
      </c>
    </row>
    <row r="11" spans="1:4">
      <c r="A11" s="33" t="s">
        <v>68</v>
      </c>
      <c r="B11" s="34">
        <v>6.4</v>
      </c>
      <c r="C11" s="34">
        <v>6.5</v>
      </c>
      <c r="D11" s="34">
        <v>12.9</v>
      </c>
    </row>
    <row r="12" spans="1:4">
      <c r="A12" s="33" t="s">
        <v>69</v>
      </c>
      <c r="B12" s="34">
        <v>6.2</v>
      </c>
      <c r="C12" s="34">
        <v>6.4</v>
      </c>
      <c r="D12" s="34">
        <v>12.600000000000001</v>
      </c>
    </row>
    <row r="13" spans="1:4">
      <c r="A13" s="33" t="s">
        <v>70</v>
      </c>
      <c r="B13" s="34">
        <v>6.1</v>
      </c>
      <c r="C13" s="34">
        <v>6.3</v>
      </c>
      <c r="D13" s="34">
        <v>12.399999999999999</v>
      </c>
    </row>
    <row r="14" spans="1:4">
      <c r="A14" s="33" t="s">
        <v>71</v>
      </c>
      <c r="B14" s="34">
        <v>6.1</v>
      </c>
      <c r="C14" s="34">
        <v>6.2</v>
      </c>
      <c r="D14" s="34">
        <v>12.3</v>
      </c>
    </row>
    <row r="15" spans="1:4">
      <c r="A15" s="33" t="s">
        <v>83</v>
      </c>
      <c r="B15" s="34">
        <v>65.599999999999994</v>
      </c>
      <c r="C15" s="34">
        <v>67.399999999999991</v>
      </c>
      <c r="D15" s="34">
        <v>133.00000000000003</v>
      </c>
    </row>
    <row r="20" spans="1:14">
      <c r="A20" s="32" t="s">
        <v>126</v>
      </c>
      <c r="B20" s="32" t="s">
        <v>209</v>
      </c>
    </row>
    <row r="21" spans="1:14">
      <c r="A21" s="32" t="s">
        <v>78</v>
      </c>
      <c r="B21" t="s">
        <v>1</v>
      </c>
      <c r="C21" t="s">
        <v>76</v>
      </c>
      <c r="D21" t="s">
        <v>83</v>
      </c>
      <c r="N21">
        <f ca="1">N21:U23</f>
        <v>0</v>
      </c>
    </row>
    <row r="22" spans="1:14">
      <c r="A22" s="33" t="s">
        <v>62</v>
      </c>
      <c r="B22" s="34">
        <v>32.4</v>
      </c>
      <c r="C22" s="34">
        <v>8.1999999999999993</v>
      </c>
      <c r="D22" s="34">
        <v>40.599999999999994</v>
      </c>
    </row>
    <row r="23" spans="1:14">
      <c r="A23" s="33" t="s">
        <v>63</v>
      </c>
      <c r="B23" s="34">
        <v>38.9</v>
      </c>
      <c r="C23" s="34">
        <v>7.9</v>
      </c>
      <c r="D23" s="34">
        <v>46.8</v>
      </c>
    </row>
    <row r="24" spans="1:14">
      <c r="A24" s="33" t="s">
        <v>64</v>
      </c>
      <c r="B24" s="34">
        <v>41.2</v>
      </c>
      <c r="C24" s="34">
        <v>7.5</v>
      </c>
      <c r="D24" s="34">
        <v>48.7</v>
      </c>
    </row>
    <row r="25" spans="1:14">
      <c r="A25" s="33" t="s">
        <v>65</v>
      </c>
      <c r="B25" s="34">
        <v>45.6</v>
      </c>
      <c r="C25" s="34">
        <v>7.1</v>
      </c>
      <c r="D25" s="34">
        <v>52.7</v>
      </c>
    </row>
    <row r="26" spans="1:14">
      <c r="A26" s="33" t="s">
        <v>66</v>
      </c>
      <c r="B26" s="34">
        <v>49.8</v>
      </c>
      <c r="C26" s="34">
        <v>6.8</v>
      </c>
      <c r="D26" s="34">
        <v>56.599999999999994</v>
      </c>
    </row>
    <row r="27" spans="1:14">
      <c r="A27" s="33" t="s">
        <v>67</v>
      </c>
      <c r="B27" s="34">
        <v>52.4</v>
      </c>
      <c r="C27" s="34">
        <v>6.4</v>
      </c>
      <c r="D27" s="34">
        <v>58.8</v>
      </c>
    </row>
    <row r="28" spans="1:14">
      <c r="A28" s="33" t="s">
        <v>68</v>
      </c>
      <c r="B28" s="34">
        <v>56.7</v>
      </c>
      <c r="C28" s="34">
        <v>6</v>
      </c>
      <c r="D28" s="34">
        <v>62.7</v>
      </c>
    </row>
    <row r="29" spans="1:14">
      <c r="A29" s="33" t="s">
        <v>69</v>
      </c>
      <c r="B29" s="34">
        <v>60.3</v>
      </c>
      <c r="C29" s="34">
        <v>5.7</v>
      </c>
      <c r="D29" s="34">
        <v>66</v>
      </c>
    </row>
    <row r="30" spans="1:14">
      <c r="A30" s="33" t="s">
        <v>70</v>
      </c>
      <c r="B30" s="34">
        <v>62.5</v>
      </c>
      <c r="C30" s="34">
        <v>5.3</v>
      </c>
      <c r="D30" s="34">
        <v>67.8</v>
      </c>
    </row>
    <row r="31" spans="1:14">
      <c r="A31" s="33" t="s">
        <v>71</v>
      </c>
      <c r="B31" s="34">
        <v>65.3</v>
      </c>
      <c r="C31" s="34">
        <v>5</v>
      </c>
      <c r="D31" s="34">
        <v>70.3</v>
      </c>
    </row>
    <row r="32" spans="1:14">
      <c r="A32" s="33" t="s">
        <v>83</v>
      </c>
      <c r="B32" s="34">
        <v>505.09999999999997</v>
      </c>
      <c r="C32" s="34">
        <v>65.900000000000006</v>
      </c>
      <c r="D32" s="34">
        <v>571</v>
      </c>
    </row>
    <row r="36" spans="1:4">
      <c r="A36" s="32" t="s">
        <v>127</v>
      </c>
      <c r="B36" s="32" t="s">
        <v>209</v>
      </c>
    </row>
    <row r="37" spans="1:4">
      <c r="A37" s="32" t="s">
        <v>78</v>
      </c>
      <c r="B37" t="s">
        <v>1</v>
      </c>
      <c r="C37" t="s">
        <v>76</v>
      </c>
      <c r="D37" t="s">
        <v>83</v>
      </c>
    </row>
    <row r="38" spans="1:4">
      <c r="A38" s="33" t="s">
        <v>62</v>
      </c>
      <c r="B38" s="34">
        <v>28.6</v>
      </c>
      <c r="C38" s="34">
        <v>6.5</v>
      </c>
      <c r="D38" s="34">
        <v>35.1</v>
      </c>
    </row>
    <row r="39" spans="1:4">
      <c r="A39" s="33" t="s">
        <v>63</v>
      </c>
      <c r="B39" s="34">
        <v>45.2</v>
      </c>
      <c r="C39" s="34">
        <v>8.1999999999999993</v>
      </c>
      <c r="D39" s="34">
        <v>53.400000000000006</v>
      </c>
    </row>
    <row r="40" spans="1:4">
      <c r="A40" s="33" t="s">
        <v>64</v>
      </c>
      <c r="B40" s="34">
        <v>52.4</v>
      </c>
      <c r="C40" s="34">
        <v>10.4</v>
      </c>
      <c r="D40" s="34">
        <v>62.8</v>
      </c>
    </row>
    <row r="41" spans="1:4">
      <c r="A41" s="33" t="s">
        <v>65</v>
      </c>
      <c r="B41" s="34">
        <v>60.8</v>
      </c>
      <c r="C41" s="34">
        <v>12.8</v>
      </c>
      <c r="D41" s="34">
        <v>73.599999999999994</v>
      </c>
    </row>
    <row r="42" spans="1:4">
      <c r="A42" s="33" t="s">
        <v>66</v>
      </c>
      <c r="B42" s="34">
        <v>72.599999999999994</v>
      </c>
      <c r="C42" s="34">
        <v>15.3</v>
      </c>
      <c r="D42" s="34">
        <v>87.899999999999991</v>
      </c>
    </row>
    <row r="43" spans="1:4">
      <c r="A43" s="33" t="s">
        <v>67</v>
      </c>
      <c r="B43" s="34">
        <v>88.4</v>
      </c>
      <c r="C43" s="34">
        <v>18.600000000000001</v>
      </c>
      <c r="D43" s="34">
        <v>107</v>
      </c>
    </row>
    <row r="44" spans="1:4">
      <c r="A44" s="33" t="s">
        <v>68</v>
      </c>
      <c r="B44" s="34">
        <v>96.3</v>
      </c>
      <c r="C44" s="34">
        <v>22.5</v>
      </c>
      <c r="D44" s="34">
        <v>118.8</v>
      </c>
    </row>
    <row r="45" spans="1:4">
      <c r="A45" s="33" t="s">
        <v>69</v>
      </c>
      <c r="B45" s="34">
        <v>108.5</v>
      </c>
      <c r="C45" s="34">
        <v>26.8</v>
      </c>
      <c r="D45" s="34">
        <v>135.30000000000001</v>
      </c>
    </row>
    <row r="46" spans="1:4">
      <c r="A46" s="33" t="s">
        <v>70</v>
      </c>
      <c r="B46" s="34">
        <v>116.2</v>
      </c>
      <c r="C46" s="34">
        <v>30.4</v>
      </c>
      <c r="D46" s="34">
        <v>146.6</v>
      </c>
    </row>
    <row r="47" spans="1:4">
      <c r="A47" s="33" t="s">
        <v>71</v>
      </c>
      <c r="B47" s="34">
        <v>124.6</v>
      </c>
      <c r="C47" s="34">
        <v>34.1</v>
      </c>
      <c r="D47" s="34">
        <v>158.69999999999999</v>
      </c>
    </row>
    <row r="48" spans="1:4">
      <c r="A48" s="33" t="s">
        <v>83</v>
      </c>
      <c r="B48" s="34">
        <v>793.6</v>
      </c>
      <c r="C48" s="34">
        <v>185.6</v>
      </c>
      <c r="D48" s="34">
        <v>979.2</v>
      </c>
    </row>
    <row r="53" spans="1:4">
      <c r="A53" s="32" t="s">
        <v>224</v>
      </c>
      <c r="B53" s="32" t="s">
        <v>209</v>
      </c>
    </row>
    <row r="54" spans="1:4">
      <c r="A54" s="32" t="s">
        <v>78</v>
      </c>
      <c r="B54" t="s">
        <v>1</v>
      </c>
      <c r="C54" t="s">
        <v>76</v>
      </c>
      <c r="D54" t="s">
        <v>83</v>
      </c>
    </row>
    <row r="55" spans="1:4">
      <c r="A55" s="33" t="s">
        <v>62</v>
      </c>
      <c r="B55" s="34">
        <v>7</v>
      </c>
      <c r="C55" s="34">
        <v>12</v>
      </c>
      <c r="D55" s="34">
        <v>19</v>
      </c>
    </row>
    <row r="56" spans="1:4">
      <c r="A56" s="33" t="s">
        <v>63</v>
      </c>
      <c r="B56" s="34">
        <v>8</v>
      </c>
      <c r="C56" s="34">
        <v>10</v>
      </c>
      <c r="D56" s="34">
        <v>18</v>
      </c>
    </row>
    <row r="57" spans="1:4">
      <c r="A57" s="33" t="s">
        <v>64</v>
      </c>
      <c r="B57" s="34">
        <v>4</v>
      </c>
      <c r="C57" s="34">
        <v>7</v>
      </c>
      <c r="D57" s="34">
        <v>11</v>
      </c>
    </row>
    <row r="58" spans="1:4">
      <c r="A58" s="33" t="s">
        <v>65</v>
      </c>
      <c r="B58" s="34">
        <v>7</v>
      </c>
      <c r="C58" s="34">
        <v>9</v>
      </c>
      <c r="D58" s="34">
        <v>16</v>
      </c>
    </row>
    <row r="59" spans="1:4">
      <c r="A59" s="33" t="s">
        <v>66</v>
      </c>
      <c r="B59" s="34">
        <v>11</v>
      </c>
      <c r="C59" s="34">
        <v>10</v>
      </c>
      <c r="D59" s="34">
        <v>21</v>
      </c>
    </row>
    <row r="60" spans="1:4">
      <c r="A60" s="33" t="s">
        <v>67</v>
      </c>
      <c r="B60" s="34">
        <v>5</v>
      </c>
      <c r="C60" s="34">
        <v>12</v>
      </c>
      <c r="D60" s="34">
        <v>17</v>
      </c>
    </row>
    <row r="61" spans="1:4">
      <c r="A61" s="33" t="s">
        <v>68</v>
      </c>
      <c r="B61" s="34">
        <v>2</v>
      </c>
      <c r="C61" s="34">
        <v>7</v>
      </c>
      <c r="D61" s="34">
        <v>9</v>
      </c>
    </row>
    <row r="62" spans="1:4">
      <c r="A62" s="33" t="s">
        <v>69</v>
      </c>
      <c r="B62" s="34">
        <v>1</v>
      </c>
      <c r="C62" s="34">
        <v>13</v>
      </c>
      <c r="D62" s="34">
        <v>14</v>
      </c>
    </row>
    <row r="63" spans="1:4">
      <c r="A63" s="33" t="s">
        <v>70</v>
      </c>
      <c r="B63" s="34">
        <v>7</v>
      </c>
      <c r="C63" s="34">
        <v>10</v>
      </c>
      <c r="D63" s="34">
        <v>17</v>
      </c>
    </row>
    <row r="64" spans="1:4">
      <c r="A64" s="33" t="s">
        <v>71</v>
      </c>
      <c r="B64" s="34">
        <v>12</v>
      </c>
      <c r="C64" s="34">
        <v>10</v>
      </c>
      <c r="D64" s="34">
        <v>22</v>
      </c>
    </row>
    <row r="65" spans="1:4">
      <c r="A65" s="33" t="s">
        <v>83</v>
      </c>
      <c r="B65" s="34">
        <v>64</v>
      </c>
      <c r="C65" s="34">
        <v>100</v>
      </c>
      <c r="D65" s="34">
        <v>164</v>
      </c>
    </row>
    <row r="68" spans="1:4">
      <c r="A68" s="32" t="s">
        <v>133</v>
      </c>
      <c r="B68" s="32" t="s">
        <v>209</v>
      </c>
    </row>
    <row r="69" spans="1:4">
      <c r="A69" s="32" t="s">
        <v>78</v>
      </c>
      <c r="B69" t="s">
        <v>1</v>
      </c>
      <c r="C69" t="s">
        <v>76</v>
      </c>
      <c r="D69" t="s">
        <v>83</v>
      </c>
    </row>
    <row r="70" spans="1:4">
      <c r="A70" s="33" t="s">
        <v>62</v>
      </c>
      <c r="B70" s="34">
        <v>0.17699999999999999</v>
      </c>
      <c r="C70" s="34">
        <v>0.53700000000000003</v>
      </c>
      <c r="D70" s="34">
        <v>0.71399999999999997</v>
      </c>
    </row>
    <row r="71" spans="1:4">
      <c r="A71" s="33" t="s">
        <v>63</v>
      </c>
      <c r="B71" s="34">
        <v>0.24299999999999999</v>
      </c>
      <c r="C71" s="34">
        <v>6.5000000000000002E-2</v>
      </c>
      <c r="D71" s="34">
        <v>0.308</v>
      </c>
    </row>
    <row r="72" spans="1:4">
      <c r="A72" s="33" t="s">
        <v>64</v>
      </c>
      <c r="B72" s="34">
        <v>0.10100000000000001</v>
      </c>
      <c r="C72" s="34">
        <v>0.106</v>
      </c>
      <c r="D72" s="34">
        <v>0.20700000000000002</v>
      </c>
    </row>
    <row r="73" spans="1:4">
      <c r="A73" s="33" t="s">
        <v>65</v>
      </c>
      <c r="B73" s="34">
        <v>0.16700000000000001</v>
      </c>
      <c r="C73" s="34">
        <v>4.5999999999999999E-2</v>
      </c>
      <c r="D73" s="34">
        <v>0.21300000000000002</v>
      </c>
    </row>
    <row r="74" spans="1:4">
      <c r="A74" s="33" t="s">
        <v>66</v>
      </c>
      <c r="B74" s="34">
        <v>0.114</v>
      </c>
      <c r="C74" s="34">
        <v>3.1E-2</v>
      </c>
      <c r="D74" s="34">
        <v>0.14500000000000002</v>
      </c>
    </row>
    <row r="75" spans="1:4">
      <c r="A75" s="33" t="s">
        <v>67</v>
      </c>
      <c r="B75" s="34">
        <v>0.155</v>
      </c>
      <c r="C75" s="34">
        <v>0.151</v>
      </c>
      <c r="D75" s="34">
        <v>0.30599999999999999</v>
      </c>
    </row>
    <row r="76" spans="1:4">
      <c r="A76" s="33" t="s">
        <v>68</v>
      </c>
      <c r="B76" s="34">
        <v>0.17399999999999999</v>
      </c>
      <c r="C76" s="34">
        <v>0.13200000000000001</v>
      </c>
      <c r="D76" s="34">
        <v>0.30599999999999999</v>
      </c>
    </row>
    <row r="77" spans="1:4">
      <c r="A77" s="33" t="s">
        <v>69</v>
      </c>
      <c r="B77" s="34">
        <v>0.26100000000000001</v>
      </c>
      <c r="C77" s="34">
        <v>5.2999999999999999E-2</v>
      </c>
      <c r="D77" s="34">
        <v>0.314</v>
      </c>
    </row>
    <row r="78" spans="1:4">
      <c r="A78" s="33" t="s">
        <v>70</v>
      </c>
      <c r="B78" s="34">
        <v>0.315</v>
      </c>
      <c r="C78" s="34">
        <v>0.13400000000000001</v>
      </c>
      <c r="D78" s="34">
        <v>0.44900000000000001</v>
      </c>
    </row>
    <row r="79" spans="1:4">
      <c r="A79" s="33" t="s">
        <v>71</v>
      </c>
      <c r="B79" s="34">
        <v>0.22800000000000001</v>
      </c>
      <c r="C79" s="34">
        <v>0.11899999999999999</v>
      </c>
      <c r="D79" s="34">
        <v>0.34699999999999998</v>
      </c>
    </row>
    <row r="80" spans="1:4">
      <c r="A80" s="33" t="s">
        <v>83</v>
      </c>
      <c r="B80" s="34">
        <v>1.9349999999999998</v>
      </c>
      <c r="C80" s="34">
        <v>1.3739999999999999</v>
      </c>
      <c r="D80" s="34">
        <v>3.3090000000000002</v>
      </c>
    </row>
    <row r="83" spans="1:9">
      <c r="A83" s="32" t="s">
        <v>84</v>
      </c>
      <c r="B83" t="s">
        <v>237</v>
      </c>
    </row>
    <row r="85" spans="1:9">
      <c r="A85" s="32" t="s">
        <v>78</v>
      </c>
      <c r="B85" t="s">
        <v>225</v>
      </c>
      <c r="C85" t="s">
        <v>226</v>
      </c>
      <c r="D85" t="s">
        <v>227</v>
      </c>
      <c r="E85" t="s">
        <v>228</v>
      </c>
      <c r="F85" t="s">
        <v>229</v>
      </c>
      <c r="G85" t="s">
        <v>230</v>
      </c>
      <c r="H85" t="s">
        <v>231</v>
      </c>
      <c r="I85" t="s">
        <v>232</v>
      </c>
    </row>
    <row r="86" spans="1:9">
      <c r="A86" s="33" t="s">
        <v>62</v>
      </c>
      <c r="B86" s="34">
        <v>5</v>
      </c>
      <c r="C86" s="34">
        <v>5</v>
      </c>
      <c r="D86" s="34">
        <v>6</v>
      </c>
      <c r="E86" s="34">
        <v>3</v>
      </c>
      <c r="F86" s="34">
        <v>8</v>
      </c>
      <c r="G86" s="34">
        <v>11</v>
      </c>
      <c r="H86" s="34">
        <v>23</v>
      </c>
      <c r="I86" s="34">
        <v>10</v>
      </c>
    </row>
    <row r="87" spans="1:9">
      <c r="A87" s="33" t="s">
        <v>63</v>
      </c>
      <c r="B87" s="34">
        <v>7</v>
      </c>
      <c r="C87" s="34">
        <v>4</v>
      </c>
      <c r="D87" s="34">
        <v>5</v>
      </c>
      <c r="E87" s="34">
        <v>2</v>
      </c>
      <c r="F87" s="34">
        <v>8</v>
      </c>
      <c r="G87" s="34">
        <v>5</v>
      </c>
      <c r="H87" s="34">
        <v>23</v>
      </c>
      <c r="I87" s="34">
        <v>7</v>
      </c>
    </row>
    <row r="88" spans="1:9">
      <c r="A88" s="33" t="s">
        <v>64</v>
      </c>
      <c r="B88" s="34">
        <v>1</v>
      </c>
      <c r="C88" s="34">
        <v>4</v>
      </c>
      <c r="D88" s="34">
        <v>3</v>
      </c>
      <c r="E88" s="34">
        <v>3</v>
      </c>
      <c r="F88" s="34">
        <v>7</v>
      </c>
      <c r="G88" s="34">
        <v>6</v>
      </c>
      <c r="H88" s="34">
        <v>21</v>
      </c>
      <c r="I88" s="34">
        <v>5</v>
      </c>
    </row>
    <row r="89" spans="1:9">
      <c r="A89" s="33" t="s">
        <v>65</v>
      </c>
      <c r="B89" s="34">
        <v>6</v>
      </c>
      <c r="C89" s="34">
        <v>4</v>
      </c>
      <c r="D89" s="34">
        <v>4</v>
      </c>
      <c r="E89" s="34">
        <v>1</v>
      </c>
      <c r="F89" s="34">
        <v>11</v>
      </c>
      <c r="G89" s="34">
        <v>9</v>
      </c>
      <c r="H89" s="34">
        <v>16</v>
      </c>
      <c r="I89" s="34">
        <v>10</v>
      </c>
    </row>
    <row r="90" spans="1:9">
      <c r="A90" s="33" t="s">
        <v>66</v>
      </c>
      <c r="B90" s="34">
        <v>6</v>
      </c>
      <c r="C90" s="34">
        <v>7</v>
      </c>
      <c r="D90" s="34">
        <v>5</v>
      </c>
      <c r="E90" s="34">
        <v>2</v>
      </c>
      <c r="F90" s="34">
        <v>7</v>
      </c>
      <c r="G90" s="34">
        <v>6</v>
      </c>
      <c r="H90" s="34">
        <v>14</v>
      </c>
      <c r="I90" s="34">
        <v>6</v>
      </c>
    </row>
    <row r="91" spans="1:9">
      <c r="A91" s="33" t="s">
        <v>67</v>
      </c>
      <c r="B91" s="34">
        <v>6</v>
      </c>
      <c r="C91" s="34">
        <v>3</v>
      </c>
      <c r="D91" s="34">
        <v>7</v>
      </c>
      <c r="E91" s="34">
        <v>1</v>
      </c>
      <c r="F91" s="34">
        <v>9</v>
      </c>
      <c r="G91" s="34">
        <v>7</v>
      </c>
      <c r="H91" s="34">
        <v>19</v>
      </c>
      <c r="I91" s="34">
        <v>8</v>
      </c>
    </row>
    <row r="92" spans="1:9">
      <c r="A92" s="33" t="s">
        <v>68</v>
      </c>
      <c r="B92" s="34">
        <v>4</v>
      </c>
      <c r="C92" s="34">
        <v>1</v>
      </c>
      <c r="D92" s="34">
        <v>4</v>
      </c>
      <c r="E92" s="34">
        <v>0</v>
      </c>
      <c r="F92" s="34">
        <v>9</v>
      </c>
      <c r="G92" s="34">
        <v>8</v>
      </c>
      <c r="H92" s="34">
        <v>17</v>
      </c>
      <c r="I92" s="34">
        <v>7</v>
      </c>
    </row>
    <row r="93" spans="1:9">
      <c r="A93" s="33" t="s">
        <v>69</v>
      </c>
      <c r="B93" s="34">
        <v>5</v>
      </c>
      <c r="C93" s="34">
        <v>3</v>
      </c>
      <c r="D93" s="34">
        <v>1</v>
      </c>
      <c r="E93" s="34">
        <v>5</v>
      </c>
      <c r="F93" s="34">
        <v>9</v>
      </c>
      <c r="G93" s="34">
        <v>8</v>
      </c>
      <c r="H93" s="34">
        <v>12</v>
      </c>
      <c r="I93" s="34">
        <v>6</v>
      </c>
    </row>
    <row r="94" spans="1:9">
      <c r="A94" s="33" t="s">
        <v>70</v>
      </c>
      <c r="B94" s="34">
        <v>6</v>
      </c>
      <c r="C94" s="34">
        <v>3</v>
      </c>
      <c r="D94" s="34">
        <v>3</v>
      </c>
      <c r="E94" s="34">
        <v>5</v>
      </c>
      <c r="F94" s="34">
        <v>6</v>
      </c>
      <c r="G94" s="34">
        <v>5</v>
      </c>
      <c r="H94" s="34">
        <v>18</v>
      </c>
      <c r="I94" s="34">
        <v>10</v>
      </c>
    </row>
    <row r="95" spans="1:9">
      <c r="A95" s="33" t="s">
        <v>71</v>
      </c>
      <c r="B95" s="34">
        <v>12</v>
      </c>
      <c r="C95" s="34">
        <v>3</v>
      </c>
      <c r="D95" s="34">
        <v>4</v>
      </c>
      <c r="E95" s="34">
        <v>3</v>
      </c>
      <c r="F95" s="34">
        <v>4</v>
      </c>
      <c r="G95" s="34">
        <v>8</v>
      </c>
      <c r="H95" s="34">
        <v>19</v>
      </c>
      <c r="I95" s="34">
        <v>10</v>
      </c>
    </row>
    <row r="96" spans="1:9">
      <c r="A96" s="33" t="s">
        <v>83</v>
      </c>
      <c r="B96" s="34">
        <v>58</v>
      </c>
      <c r="C96" s="34">
        <v>37</v>
      </c>
      <c r="D96" s="34">
        <v>42</v>
      </c>
      <c r="E96" s="34">
        <v>25</v>
      </c>
      <c r="F96" s="34">
        <v>78</v>
      </c>
      <c r="G96" s="34">
        <v>73</v>
      </c>
      <c r="H96" s="34">
        <v>182</v>
      </c>
      <c r="I96" s="34">
        <v>79</v>
      </c>
    </row>
    <row r="97" spans="1:9">
      <c r="B97">
        <f>SUM(B96:I96)</f>
        <v>574</v>
      </c>
    </row>
    <row r="103" spans="1:9">
      <c r="A103" s="46"/>
      <c r="B103" s="46" t="s">
        <v>225</v>
      </c>
      <c r="C103" s="46" t="s">
        <v>226</v>
      </c>
      <c r="D103" s="46" t="s">
        <v>227</v>
      </c>
      <c r="E103" s="46" t="s">
        <v>228</v>
      </c>
      <c r="F103" s="46" t="s">
        <v>229</v>
      </c>
      <c r="G103" s="46" t="s">
        <v>230</v>
      </c>
      <c r="H103" s="46" t="s">
        <v>231</v>
      </c>
      <c r="I103" s="46" t="s">
        <v>232</v>
      </c>
    </row>
    <row r="104" spans="1:9">
      <c r="A104" s="33" t="s">
        <v>62</v>
      </c>
      <c r="B104" s="34">
        <v>1</v>
      </c>
      <c r="C104" s="34">
        <v>2</v>
      </c>
      <c r="D104" s="34">
        <v>4</v>
      </c>
      <c r="E104" s="34">
        <v>1</v>
      </c>
      <c r="F104" s="34">
        <v>4</v>
      </c>
      <c r="G104" s="34">
        <v>2</v>
      </c>
      <c r="H104" s="34">
        <v>6</v>
      </c>
      <c r="I104" s="34">
        <v>3</v>
      </c>
    </row>
    <row r="105" spans="1:9">
      <c r="A105" s="33" t="s">
        <v>63</v>
      </c>
      <c r="B105" s="34">
        <v>6</v>
      </c>
      <c r="C105" s="34">
        <v>0</v>
      </c>
      <c r="D105" s="34">
        <v>7</v>
      </c>
      <c r="E105" s="34">
        <v>2</v>
      </c>
      <c r="F105" s="34">
        <v>2</v>
      </c>
      <c r="G105" s="34">
        <v>4</v>
      </c>
      <c r="H105" s="34">
        <v>9</v>
      </c>
      <c r="I105" s="34">
        <v>2</v>
      </c>
    </row>
    <row r="106" spans="1:9">
      <c r="A106" s="33" t="s">
        <v>64</v>
      </c>
      <c r="B106" s="34">
        <v>0</v>
      </c>
      <c r="C106" s="34">
        <v>2</v>
      </c>
      <c r="D106" s="34">
        <v>2</v>
      </c>
      <c r="E106" s="34">
        <v>2</v>
      </c>
      <c r="F106" s="34">
        <v>3</v>
      </c>
      <c r="G106" s="34">
        <v>3</v>
      </c>
      <c r="H106" s="34">
        <v>5</v>
      </c>
      <c r="I106" s="34">
        <v>5</v>
      </c>
    </row>
    <row r="107" spans="1:9">
      <c r="A107" s="33" t="s">
        <v>65</v>
      </c>
      <c r="B107" s="34">
        <v>4</v>
      </c>
      <c r="C107" s="34">
        <v>4</v>
      </c>
      <c r="D107" s="34">
        <v>3</v>
      </c>
      <c r="E107" s="34">
        <v>2</v>
      </c>
      <c r="F107" s="34">
        <v>6</v>
      </c>
      <c r="G107" s="34">
        <v>2</v>
      </c>
      <c r="H107" s="34">
        <v>10</v>
      </c>
      <c r="I107" s="34">
        <v>4</v>
      </c>
    </row>
    <row r="108" spans="1:9">
      <c r="A108" s="33" t="s">
        <v>66</v>
      </c>
      <c r="B108" s="34">
        <v>4</v>
      </c>
      <c r="C108" s="34">
        <v>2</v>
      </c>
      <c r="D108" s="34">
        <v>3</v>
      </c>
      <c r="E108" s="34">
        <v>0</v>
      </c>
      <c r="F108" s="34">
        <v>6</v>
      </c>
      <c r="G108" s="34">
        <v>2</v>
      </c>
      <c r="H108" s="34">
        <v>8</v>
      </c>
      <c r="I108" s="34">
        <v>6</v>
      </c>
    </row>
    <row r="109" spans="1:9">
      <c r="A109" s="33" t="s">
        <v>67</v>
      </c>
      <c r="B109" s="34">
        <v>2</v>
      </c>
      <c r="C109" s="34">
        <v>5</v>
      </c>
      <c r="D109" s="34">
        <v>1</v>
      </c>
      <c r="E109" s="34">
        <v>3</v>
      </c>
      <c r="F109" s="34">
        <v>2</v>
      </c>
      <c r="G109" s="34">
        <v>5</v>
      </c>
      <c r="H109" s="34">
        <v>8</v>
      </c>
      <c r="I109" s="34">
        <v>2</v>
      </c>
    </row>
    <row r="110" spans="1:9">
      <c r="A110" s="33" t="s">
        <v>68</v>
      </c>
      <c r="B110" s="34">
        <v>6</v>
      </c>
      <c r="C110" s="34">
        <v>6</v>
      </c>
      <c r="D110" s="34">
        <v>4</v>
      </c>
      <c r="E110" s="34">
        <v>2</v>
      </c>
      <c r="F110" s="34">
        <v>5</v>
      </c>
      <c r="G110" s="34">
        <v>3</v>
      </c>
      <c r="H110" s="34">
        <v>11</v>
      </c>
      <c r="I110" s="34">
        <v>2</v>
      </c>
    </row>
    <row r="111" spans="1:9">
      <c r="A111" s="33" t="s">
        <v>69</v>
      </c>
      <c r="B111" s="34">
        <v>5</v>
      </c>
      <c r="C111" s="34">
        <v>1</v>
      </c>
      <c r="D111" s="34">
        <v>2</v>
      </c>
      <c r="E111" s="34">
        <v>2</v>
      </c>
      <c r="F111" s="34">
        <v>4</v>
      </c>
      <c r="G111" s="34">
        <v>3</v>
      </c>
      <c r="H111" s="34">
        <v>11</v>
      </c>
      <c r="I111" s="34">
        <v>2</v>
      </c>
    </row>
    <row r="112" spans="1:9">
      <c r="A112" s="33" t="s">
        <v>70</v>
      </c>
      <c r="B112" s="34">
        <v>2</v>
      </c>
      <c r="C112" s="34">
        <v>4</v>
      </c>
      <c r="D112" s="34">
        <v>3</v>
      </c>
      <c r="E112" s="34">
        <v>5</v>
      </c>
      <c r="F112" s="34">
        <v>3</v>
      </c>
      <c r="G112" s="34">
        <v>5</v>
      </c>
      <c r="H112" s="34">
        <v>12</v>
      </c>
      <c r="I112" s="34">
        <v>1</v>
      </c>
    </row>
    <row r="113" spans="1:9">
      <c r="A113" s="33" t="s">
        <v>71</v>
      </c>
      <c r="B113" s="34">
        <v>4</v>
      </c>
      <c r="C113" s="34">
        <v>5</v>
      </c>
      <c r="D113" s="34">
        <v>1</v>
      </c>
      <c r="E113" s="34">
        <v>0</v>
      </c>
      <c r="F113" s="34">
        <v>5</v>
      </c>
      <c r="G113" s="34">
        <v>5</v>
      </c>
      <c r="H113" s="34">
        <v>7</v>
      </c>
      <c r="I113" s="34">
        <v>1</v>
      </c>
    </row>
    <row r="114" spans="1:9">
      <c r="A114" s="44" t="s">
        <v>83</v>
      </c>
      <c r="B114" s="45">
        <v>34</v>
      </c>
      <c r="C114" s="45">
        <v>31</v>
      </c>
      <c r="D114" s="45">
        <v>30</v>
      </c>
      <c r="E114" s="45">
        <v>19</v>
      </c>
      <c r="F114" s="45">
        <v>40</v>
      </c>
      <c r="G114" s="45">
        <v>34</v>
      </c>
      <c r="H114" s="45">
        <v>87</v>
      </c>
      <c r="I114" s="45">
        <v>28</v>
      </c>
    </row>
    <row r="118" spans="1:9">
      <c r="A118" s="32" t="s">
        <v>224</v>
      </c>
      <c r="B118" s="32" t="s">
        <v>209</v>
      </c>
    </row>
    <row r="119" spans="1:9">
      <c r="A119" s="32" t="s">
        <v>78</v>
      </c>
      <c r="B119" t="s">
        <v>1</v>
      </c>
      <c r="C119" t="s">
        <v>76</v>
      </c>
      <c r="D119" t="s">
        <v>83</v>
      </c>
    </row>
    <row r="120" spans="1:9">
      <c r="A120" s="33" t="s">
        <v>62</v>
      </c>
      <c r="B120" s="34">
        <v>7</v>
      </c>
      <c r="C120" s="34">
        <v>12</v>
      </c>
      <c r="D120" s="34">
        <v>19</v>
      </c>
    </row>
    <row r="121" spans="1:9">
      <c r="A121" s="33" t="s">
        <v>63</v>
      </c>
      <c r="B121" s="34">
        <v>8</v>
      </c>
      <c r="C121" s="34">
        <v>10</v>
      </c>
      <c r="D121" s="34">
        <v>18</v>
      </c>
    </row>
    <row r="122" spans="1:9">
      <c r="A122" s="33" t="s">
        <v>64</v>
      </c>
      <c r="B122" s="34">
        <v>4</v>
      </c>
      <c r="C122" s="34">
        <v>7</v>
      </c>
      <c r="D122" s="34">
        <v>11</v>
      </c>
    </row>
    <row r="123" spans="1:9">
      <c r="A123" s="33" t="s">
        <v>65</v>
      </c>
      <c r="B123" s="34">
        <v>7</v>
      </c>
      <c r="C123" s="34">
        <v>9</v>
      </c>
      <c r="D123" s="34">
        <v>16</v>
      </c>
    </row>
    <row r="124" spans="1:9">
      <c r="A124" s="33" t="s">
        <v>66</v>
      </c>
      <c r="B124" s="34">
        <v>11</v>
      </c>
      <c r="C124" s="34">
        <v>10</v>
      </c>
      <c r="D124" s="34">
        <v>21</v>
      </c>
    </row>
    <row r="125" spans="1:9">
      <c r="A125" s="33" t="s">
        <v>67</v>
      </c>
      <c r="B125" s="34">
        <v>5</v>
      </c>
      <c r="C125" s="34">
        <v>12</v>
      </c>
      <c r="D125" s="34">
        <v>17</v>
      </c>
    </row>
    <row r="126" spans="1:9">
      <c r="A126" s="33" t="s">
        <v>68</v>
      </c>
      <c r="B126" s="34">
        <v>2</v>
      </c>
      <c r="C126" s="34">
        <v>7</v>
      </c>
      <c r="D126" s="34">
        <v>9</v>
      </c>
    </row>
    <row r="127" spans="1:9">
      <c r="A127" s="33" t="s">
        <v>69</v>
      </c>
      <c r="B127" s="34">
        <v>1</v>
      </c>
      <c r="C127" s="34">
        <v>13</v>
      </c>
      <c r="D127" s="34">
        <v>14</v>
      </c>
    </row>
    <row r="128" spans="1:9">
      <c r="A128" s="33" t="s">
        <v>70</v>
      </c>
      <c r="B128" s="34">
        <v>7</v>
      </c>
      <c r="C128" s="34">
        <v>10</v>
      </c>
      <c r="D128" s="34">
        <v>17</v>
      </c>
    </row>
    <row r="129" spans="1:5">
      <c r="A129" s="33" t="s">
        <v>71</v>
      </c>
      <c r="B129" s="34">
        <v>12</v>
      </c>
      <c r="C129" s="34">
        <v>10</v>
      </c>
      <c r="D129" s="34">
        <v>22</v>
      </c>
    </row>
    <row r="130" spans="1:5">
      <c r="A130" s="33" t="s">
        <v>83</v>
      </c>
      <c r="B130" s="34">
        <v>64</v>
      </c>
      <c r="C130" s="34">
        <v>100</v>
      </c>
      <c r="D130" s="34">
        <v>164</v>
      </c>
    </row>
    <row r="134" spans="1:5">
      <c r="B134" s="32" t="s">
        <v>234</v>
      </c>
      <c r="C134" s="32" t="s">
        <v>209</v>
      </c>
    </row>
    <row r="135" spans="1:5">
      <c r="B135" s="32" t="s">
        <v>78</v>
      </c>
      <c r="C135" t="s">
        <v>1</v>
      </c>
      <c r="D135" t="s">
        <v>76</v>
      </c>
      <c r="E135" t="s">
        <v>83</v>
      </c>
    </row>
    <row r="136" spans="1:5">
      <c r="B136" s="33" t="s">
        <v>62</v>
      </c>
      <c r="C136" s="34">
        <v>7.2</v>
      </c>
      <c r="D136" s="34">
        <v>7.4</v>
      </c>
      <c r="E136" s="34">
        <v>7.3000000000000007</v>
      </c>
    </row>
    <row r="137" spans="1:5">
      <c r="B137" s="33" t="s">
        <v>63</v>
      </c>
      <c r="C137" s="34">
        <v>7</v>
      </c>
      <c r="D137" s="34">
        <v>7.2</v>
      </c>
      <c r="E137" s="34">
        <v>7.1</v>
      </c>
    </row>
    <row r="138" spans="1:5">
      <c r="B138" s="33" t="s">
        <v>64</v>
      </c>
      <c r="C138" s="34">
        <v>6.8</v>
      </c>
      <c r="D138" s="34">
        <v>7</v>
      </c>
      <c r="E138" s="34">
        <v>6.9</v>
      </c>
    </row>
    <row r="139" spans="1:5">
      <c r="B139" s="33" t="s">
        <v>65</v>
      </c>
      <c r="C139" s="34">
        <v>6.7</v>
      </c>
      <c r="D139" s="34">
        <v>6.9</v>
      </c>
      <c r="E139" s="34">
        <v>6.8000000000000007</v>
      </c>
    </row>
    <row r="140" spans="1:5">
      <c r="B140" s="33" t="s">
        <v>66</v>
      </c>
      <c r="C140" s="34">
        <v>6.6</v>
      </c>
      <c r="D140" s="34">
        <v>6.8</v>
      </c>
      <c r="E140" s="34">
        <v>6.6999999999999993</v>
      </c>
    </row>
    <row r="141" spans="1:5">
      <c r="B141" s="33" t="s">
        <v>67</v>
      </c>
      <c r="C141" s="34">
        <v>6.5</v>
      </c>
      <c r="D141" s="34">
        <v>6.7</v>
      </c>
      <c r="E141" s="34">
        <v>6.6</v>
      </c>
    </row>
    <row r="142" spans="1:5">
      <c r="B142" s="33" t="s">
        <v>68</v>
      </c>
      <c r="C142" s="34">
        <v>6.4</v>
      </c>
      <c r="D142" s="34">
        <v>6.5</v>
      </c>
      <c r="E142" s="34">
        <v>6.45</v>
      </c>
    </row>
    <row r="143" spans="1:5">
      <c r="B143" s="33" t="s">
        <v>69</v>
      </c>
      <c r="C143" s="34">
        <v>6.2</v>
      </c>
      <c r="D143" s="34">
        <v>6.4</v>
      </c>
      <c r="E143" s="34">
        <v>6.3000000000000007</v>
      </c>
    </row>
    <row r="144" spans="1:5">
      <c r="B144" s="33" t="s">
        <v>70</v>
      </c>
      <c r="C144" s="34">
        <v>6.1</v>
      </c>
      <c r="D144" s="34">
        <v>6.3</v>
      </c>
      <c r="E144" s="34">
        <v>6.1999999999999993</v>
      </c>
    </row>
    <row r="145" spans="2:6">
      <c r="B145" s="33" t="s">
        <v>71</v>
      </c>
      <c r="C145" s="34">
        <v>6.1</v>
      </c>
      <c r="D145" s="34">
        <v>6.2</v>
      </c>
      <c r="E145" s="34">
        <v>6.15</v>
      </c>
    </row>
    <row r="146" spans="2:6">
      <c r="B146" s="33" t="s">
        <v>83</v>
      </c>
      <c r="C146" s="34">
        <v>6.56</v>
      </c>
      <c r="D146" s="34">
        <v>6.7399999999999993</v>
      </c>
      <c r="E146" s="34">
        <v>6.6500000000000012</v>
      </c>
    </row>
    <row r="147" spans="2:6">
      <c r="C147" s="42">
        <f>AVERAGE(C146:F146)</f>
        <v>6.6499999999999995</v>
      </c>
    </row>
    <row r="150" spans="2:6">
      <c r="C150" s="32" t="s">
        <v>235</v>
      </c>
      <c r="D150" s="32" t="s">
        <v>209</v>
      </c>
    </row>
    <row r="151" spans="2:6">
      <c r="C151" s="32" t="s">
        <v>78</v>
      </c>
      <c r="D151" t="s">
        <v>1</v>
      </c>
      <c r="E151" t="s">
        <v>76</v>
      </c>
      <c r="F151" t="s">
        <v>83</v>
      </c>
    </row>
    <row r="152" spans="2:6">
      <c r="C152" s="33" t="s">
        <v>62</v>
      </c>
      <c r="D152" s="34">
        <v>7</v>
      </c>
      <c r="E152" s="34">
        <v>12</v>
      </c>
      <c r="F152" s="34">
        <v>12</v>
      </c>
    </row>
    <row r="153" spans="2:6">
      <c r="C153" s="33" t="s">
        <v>63</v>
      </c>
      <c r="D153" s="34">
        <v>8</v>
      </c>
      <c r="E153" s="34">
        <v>10</v>
      </c>
      <c r="F153" s="34">
        <v>10</v>
      </c>
    </row>
    <row r="154" spans="2:6">
      <c r="C154" s="33" t="s">
        <v>64</v>
      </c>
      <c r="D154" s="34">
        <v>4</v>
      </c>
      <c r="E154" s="34">
        <v>7</v>
      </c>
      <c r="F154" s="34">
        <v>7</v>
      </c>
    </row>
    <row r="155" spans="2:6">
      <c r="C155" s="33" t="s">
        <v>65</v>
      </c>
      <c r="D155" s="34">
        <v>7</v>
      </c>
      <c r="E155" s="34">
        <v>9</v>
      </c>
      <c r="F155" s="34">
        <v>9</v>
      </c>
    </row>
    <row r="156" spans="2:6">
      <c r="C156" s="33" t="s">
        <v>66</v>
      </c>
      <c r="D156" s="34">
        <v>11</v>
      </c>
      <c r="E156" s="34">
        <v>10</v>
      </c>
      <c r="F156" s="34">
        <v>11</v>
      </c>
    </row>
    <row r="157" spans="2:6">
      <c r="C157" s="33" t="s">
        <v>67</v>
      </c>
      <c r="D157" s="34">
        <v>5</v>
      </c>
      <c r="E157" s="34">
        <v>12</v>
      </c>
      <c r="F157" s="34">
        <v>12</v>
      </c>
    </row>
    <row r="158" spans="2:6">
      <c r="C158" s="33" t="s">
        <v>68</v>
      </c>
      <c r="D158" s="34">
        <v>2</v>
      </c>
      <c r="E158" s="34">
        <v>7</v>
      </c>
      <c r="F158" s="34">
        <v>7</v>
      </c>
    </row>
    <row r="159" spans="2:6">
      <c r="C159" s="33" t="s">
        <v>69</v>
      </c>
      <c r="D159" s="34">
        <v>1</v>
      </c>
      <c r="E159" s="34">
        <v>13</v>
      </c>
      <c r="F159" s="34">
        <v>13</v>
      </c>
    </row>
    <row r="160" spans="2:6">
      <c r="C160" s="33" t="s">
        <v>70</v>
      </c>
      <c r="D160" s="34">
        <v>7</v>
      </c>
      <c r="E160" s="34">
        <v>10</v>
      </c>
      <c r="F160" s="34">
        <v>10</v>
      </c>
    </row>
    <row r="161" spans="1:6">
      <c r="C161" s="33" t="s">
        <v>71</v>
      </c>
      <c r="D161" s="34">
        <v>12</v>
      </c>
      <c r="E161" s="34">
        <v>10</v>
      </c>
      <c r="F161" s="34">
        <v>12</v>
      </c>
    </row>
    <row r="162" spans="1:6">
      <c r="C162" s="33" t="s">
        <v>83</v>
      </c>
      <c r="D162" s="34">
        <v>12</v>
      </c>
      <c r="E162" s="34">
        <v>13</v>
      </c>
      <c r="F162" s="34">
        <v>13</v>
      </c>
    </row>
    <row r="163" spans="1:6">
      <c r="D163">
        <f>MAX(D162:G162)</f>
        <v>13</v>
      </c>
    </row>
    <row r="165" spans="1:6">
      <c r="A165" s="32" t="s">
        <v>236</v>
      </c>
      <c r="B165" s="32" t="s">
        <v>209</v>
      </c>
    </row>
    <row r="166" spans="1:6">
      <c r="A166" s="32" t="s">
        <v>78</v>
      </c>
      <c r="B166" t="s">
        <v>1</v>
      </c>
      <c r="C166" t="s">
        <v>76</v>
      </c>
      <c r="D166" t="s">
        <v>83</v>
      </c>
    </row>
    <row r="167" spans="1:6">
      <c r="A167" s="33" t="s">
        <v>62</v>
      </c>
      <c r="B167" s="34">
        <v>32.4</v>
      </c>
      <c r="C167" s="34">
        <v>8.1999999999999993</v>
      </c>
      <c r="D167" s="34">
        <v>20.299999999999997</v>
      </c>
    </row>
    <row r="168" spans="1:6">
      <c r="A168" s="33" t="s">
        <v>63</v>
      </c>
      <c r="B168" s="34">
        <v>38.9</v>
      </c>
      <c r="C168" s="34">
        <v>7.9</v>
      </c>
      <c r="D168" s="34">
        <v>23.4</v>
      </c>
    </row>
    <row r="169" spans="1:6">
      <c r="A169" s="33" t="s">
        <v>64</v>
      </c>
      <c r="B169" s="34">
        <v>41.2</v>
      </c>
      <c r="C169" s="34">
        <v>7.5</v>
      </c>
      <c r="D169" s="34">
        <v>24.35</v>
      </c>
    </row>
    <row r="170" spans="1:6">
      <c r="A170" s="33" t="s">
        <v>65</v>
      </c>
      <c r="B170" s="34">
        <v>45.6</v>
      </c>
      <c r="C170" s="34">
        <v>7.1</v>
      </c>
      <c r="D170" s="34">
        <v>26.35</v>
      </c>
    </row>
    <row r="171" spans="1:6">
      <c r="A171" s="33" t="s">
        <v>66</v>
      </c>
      <c r="B171" s="34">
        <v>49.8</v>
      </c>
      <c r="C171" s="34">
        <v>6.8</v>
      </c>
      <c r="D171" s="34">
        <v>28.299999999999997</v>
      </c>
    </row>
    <row r="172" spans="1:6">
      <c r="A172" s="33" t="s">
        <v>67</v>
      </c>
      <c r="B172" s="34">
        <v>52.4</v>
      </c>
      <c r="C172" s="34">
        <v>6.4</v>
      </c>
      <c r="D172" s="34">
        <v>29.4</v>
      </c>
    </row>
    <row r="173" spans="1:6">
      <c r="A173" s="33" t="s">
        <v>68</v>
      </c>
      <c r="B173" s="34">
        <v>56.7</v>
      </c>
      <c r="C173" s="34">
        <v>6</v>
      </c>
      <c r="D173" s="34">
        <v>31.35</v>
      </c>
    </row>
    <row r="174" spans="1:6">
      <c r="A174" s="33" t="s">
        <v>69</v>
      </c>
      <c r="B174" s="34">
        <v>60.3</v>
      </c>
      <c r="C174" s="34">
        <v>5.7</v>
      </c>
      <c r="D174" s="34">
        <v>33</v>
      </c>
    </row>
    <row r="175" spans="1:6">
      <c r="A175" s="33" t="s">
        <v>70</v>
      </c>
      <c r="B175" s="34">
        <v>62.5</v>
      </c>
      <c r="C175" s="34">
        <v>5.3</v>
      </c>
      <c r="D175" s="34">
        <v>33.9</v>
      </c>
    </row>
    <row r="176" spans="1:6">
      <c r="A176" s="33" t="s">
        <v>71</v>
      </c>
      <c r="B176" s="34">
        <v>65.3</v>
      </c>
      <c r="C176" s="34">
        <v>5</v>
      </c>
      <c r="D176" s="34">
        <v>35.15</v>
      </c>
    </row>
    <row r="177" spans="1:4">
      <c r="A177" s="33" t="s">
        <v>83</v>
      </c>
      <c r="B177" s="34">
        <v>50.51</v>
      </c>
      <c r="C177" s="34">
        <v>6.5900000000000007</v>
      </c>
      <c r="D177" s="34">
        <v>28.55</v>
      </c>
    </row>
    <row r="178" spans="1:4">
      <c r="B178" s="43">
        <f>AVERAGE(B177:D177)</f>
        <v>28.55</v>
      </c>
    </row>
  </sheetData>
  <pageMargins left="0.7" right="0.7" top="0.75" bottom="0.75" header="0.3" footer="0.3"/>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8"/>
  <sheetViews>
    <sheetView topLeftCell="AP1" workbookViewId="0">
      <selection activeCell="AP1" sqref="AP1"/>
    </sheetView>
  </sheetViews>
  <sheetFormatPr defaultColWidth="37.140625" defaultRowHeight="15"/>
  <sheetData>
    <row r="1" spans="1:44">
      <c r="A1" s="38" t="s">
        <v>86</v>
      </c>
      <c r="B1" s="38"/>
      <c r="C1" s="38" t="s">
        <v>87</v>
      </c>
      <c r="D1" s="38"/>
      <c r="E1" s="38" t="s">
        <v>88</v>
      </c>
      <c r="F1" s="38"/>
      <c r="G1" s="38" t="s">
        <v>89</v>
      </c>
      <c r="H1" s="38"/>
      <c r="I1" s="38" t="s">
        <v>90</v>
      </c>
      <c r="J1" s="38"/>
      <c r="K1" s="38" t="s">
        <v>91</v>
      </c>
      <c r="L1" s="38"/>
      <c r="M1" s="38" t="s">
        <v>92</v>
      </c>
      <c r="N1" s="38"/>
      <c r="O1" s="38" t="s">
        <v>93</v>
      </c>
      <c r="P1" s="38"/>
      <c r="Q1" s="38" t="s">
        <v>110</v>
      </c>
      <c r="R1" s="38"/>
      <c r="S1" s="38" t="s">
        <v>111</v>
      </c>
      <c r="T1" s="38"/>
      <c r="U1" s="38" t="s">
        <v>112</v>
      </c>
      <c r="V1" s="38"/>
      <c r="W1" s="38" t="s">
        <v>113</v>
      </c>
      <c r="X1" s="38"/>
      <c r="Y1" s="38" t="s">
        <v>114</v>
      </c>
      <c r="Z1" s="38"/>
      <c r="AA1" s="38" t="s">
        <v>115</v>
      </c>
      <c r="AB1" s="38"/>
      <c r="AC1" s="38" t="s">
        <v>116</v>
      </c>
      <c r="AD1" s="38"/>
      <c r="AE1" s="38" t="s">
        <v>117</v>
      </c>
      <c r="AF1" s="38"/>
      <c r="AG1" s="38" t="s">
        <v>118</v>
      </c>
      <c r="AH1" s="38"/>
      <c r="AI1" s="38" t="s">
        <v>119</v>
      </c>
      <c r="AJ1" s="38"/>
      <c r="AK1" s="38" t="s">
        <v>120</v>
      </c>
      <c r="AL1" s="38"/>
      <c r="AM1" s="38" t="s">
        <v>121</v>
      </c>
      <c r="AN1" s="38"/>
      <c r="AO1" s="38" t="s">
        <v>122</v>
      </c>
      <c r="AP1" s="38"/>
      <c r="AQ1" s="38" t="s">
        <v>138</v>
      </c>
      <c r="AR1" s="38"/>
    </row>
    <row r="2" spans="1:44">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row>
    <row r="3" spans="1:44">
      <c r="A3" s="36" t="s">
        <v>94</v>
      </c>
      <c r="B3" s="36">
        <v>3.0666666666666669</v>
      </c>
      <c r="C3" s="36" t="s">
        <v>94</v>
      </c>
      <c r="D3" s="36">
        <v>2.2666666666666666</v>
      </c>
      <c r="E3" s="36" t="s">
        <v>94</v>
      </c>
      <c r="F3" s="36">
        <v>2.4</v>
      </c>
      <c r="G3" s="36" t="s">
        <v>94</v>
      </c>
      <c r="H3" s="36">
        <v>1.4666666666666666</v>
      </c>
      <c r="I3" s="36" t="s">
        <v>94</v>
      </c>
      <c r="J3" s="36">
        <v>3.9333333333333331</v>
      </c>
      <c r="K3" s="36" t="s">
        <v>94</v>
      </c>
      <c r="L3" s="36">
        <v>3.5666666666666669</v>
      </c>
      <c r="M3" s="36" t="s">
        <v>94</v>
      </c>
      <c r="N3" s="36">
        <v>8.9666666666666668</v>
      </c>
      <c r="O3" s="36" t="s">
        <v>94</v>
      </c>
      <c r="P3" s="36">
        <v>3.5666666666666669</v>
      </c>
      <c r="Q3" s="36" t="s">
        <v>94</v>
      </c>
      <c r="R3" s="36">
        <v>6.6266666666666669</v>
      </c>
      <c r="S3" s="36" t="s">
        <v>94</v>
      </c>
      <c r="T3" s="36">
        <v>27.396666666666665</v>
      </c>
      <c r="U3" s="36" t="s">
        <v>94</v>
      </c>
      <c r="V3" s="36">
        <v>21.066666666666659</v>
      </c>
      <c r="W3" s="36" t="s">
        <v>94</v>
      </c>
      <c r="X3" s="36">
        <v>42.389999999999993</v>
      </c>
      <c r="Y3" s="36" t="s">
        <v>94</v>
      </c>
      <c r="Z3" s="36">
        <v>48.4</v>
      </c>
      <c r="AA3" s="36" t="s">
        <v>94</v>
      </c>
      <c r="AB3" s="36">
        <v>6.15</v>
      </c>
      <c r="AC3" s="36" t="s">
        <v>94</v>
      </c>
      <c r="AD3" s="36">
        <v>606</v>
      </c>
      <c r="AE3" s="36" t="s">
        <v>94</v>
      </c>
      <c r="AF3" s="36">
        <v>2.7833333333333334E-3</v>
      </c>
      <c r="AG3" s="36" t="s">
        <v>94</v>
      </c>
      <c r="AH3" s="36">
        <v>5.0000000000000034E-4</v>
      </c>
      <c r="AI3" s="36" t="s">
        <v>94</v>
      </c>
      <c r="AJ3" s="36">
        <v>0.17206666666666665</v>
      </c>
      <c r="AK3" s="36" t="s">
        <v>94</v>
      </c>
      <c r="AL3" s="36">
        <v>1.0716666666666673E-2</v>
      </c>
      <c r="AM3" s="36" t="s">
        <v>94</v>
      </c>
      <c r="AN3" s="36">
        <v>5.0000000000000034E-4</v>
      </c>
      <c r="AO3" s="36" t="s">
        <v>94</v>
      </c>
      <c r="AP3" s="36">
        <v>6.7699999999999996E-2</v>
      </c>
      <c r="AQ3" s="36" t="s">
        <v>94</v>
      </c>
      <c r="AR3" s="36">
        <v>9.3666666666666671</v>
      </c>
    </row>
    <row r="4" spans="1:44">
      <c r="A4" s="36" t="s">
        <v>95</v>
      </c>
      <c r="B4" s="36">
        <v>0.33539591747058983</v>
      </c>
      <c r="C4" s="36" t="s">
        <v>95</v>
      </c>
      <c r="D4" s="36">
        <v>0.30298641270447246</v>
      </c>
      <c r="E4" s="36" t="s">
        <v>95</v>
      </c>
      <c r="F4" s="36">
        <v>0.28607530557489597</v>
      </c>
      <c r="G4" s="36" t="s">
        <v>95</v>
      </c>
      <c r="H4" s="36">
        <v>0.24322230186108626</v>
      </c>
      <c r="I4" s="36" t="s">
        <v>95</v>
      </c>
      <c r="J4" s="36">
        <v>0.24882867361351374</v>
      </c>
      <c r="K4" s="36" t="s">
        <v>95</v>
      </c>
      <c r="L4" s="36">
        <v>0.24298589587436908</v>
      </c>
      <c r="M4" s="36" t="s">
        <v>95</v>
      </c>
      <c r="N4" s="36">
        <v>0.44845413490245706</v>
      </c>
      <c r="O4" s="36" t="s">
        <v>95</v>
      </c>
      <c r="P4" s="36">
        <v>0.29039542337252638</v>
      </c>
      <c r="Q4" s="36" t="s">
        <v>95</v>
      </c>
      <c r="R4" s="36">
        <v>6.8301786943072429E-2</v>
      </c>
      <c r="S4" s="36" t="s">
        <v>95</v>
      </c>
      <c r="T4" s="36">
        <v>0.1654310519527443</v>
      </c>
      <c r="U4" s="36" t="s">
        <v>95</v>
      </c>
      <c r="V4" s="36">
        <v>4.0259769524248332</v>
      </c>
      <c r="W4" s="36" t="s">
        <v>95</v>
      </c>
      <c r="X4" s="36">
        <v>6.2195582317155935</v>
      </c>
      <c r="Y4" s="36" t="s">
        <v>95</v>
      </c>
      <c r="Z4" s="36">
        <v>2.2680185285788577</v>
      </c>
      <c r="AA4" s="36" t="s">
        <v>95</v>
      </c>
      <c r="AB4" s="36">
        <v>0.44656415018436624</v>
      </c>
      <c r="AC4" s="36" t="s">
        <v>95</v>
      </c>
      <c r="AD4" s="36">
        <v>28.205322722583009</v>
      </c>
      <c r="AE4" s="36" t="s">
        <v>95</v>
      </c>
      <c r="AF4" s="36">
        <v>7.5341495845042677E-4</v>
      </c>
      <c r="AG4" s="36" t="s">
        <v>95</v>
      </c>
      <c r="AH4" s="36">
        <v>6.0399386721597017E-20</v>
      </c>
      <c r="AI4" s="36" t="s">
        <v>95</v>
      </c>
      <c r="AJ4" s="36">
        <v>1.8113431438229299E-2</v>
      </c>
      <c r="AK4" s="36" t="s">
        <v>95</v>
      </c>
      <c r="AL4" s="36">
        <v>1.4341250152573755E-3</v>
      </c>
      <c r="AM4" s="36" t="s">
        <v>95</v>
      </c>
      <c r="AN4" s="36">
        <v>6.0399386721597017E-20</v>
      </c>
      <c r="AO4" s="36" t="s">
        <v>95</v>
      </c>
      <c r="AP4" s="36">
        <v>7.8254154162435124E-3</v>
      </c>
      <c r="AQ4" s="36" t="s">
        <v>95</v>
      </c>
      <c r="AR4" s="36">
        <v>0.67378384837386973</v>
      </c>
    </row>
    <row r="5" spans="1:44">
      <c r="A5" s="36" t="s">
        <v>96</v>
      </c>
      <c r="B5" s="36">
        <v>3</v>
      </c>
      <c r="C5" s="36" t="s">
        <v>96</v>
      </c>
      <c r="D5" s="36">
        <v>2</v>
      </c>
      <c r="E5" s="36" t="s">
        <v>96</v>
      </c>
      <c r="F5" s="36">
        <v>2</v>
      </c>
      <c r="G5" s="36" t="s">
        <v>96</v>
      </c>
      <c r="H5" s="36">
        <v>1</v>
      </c>
      <c r="I5" s="36" t="s">
        <v>96</v>
      </c>
      <c r="J5" s="36">
        <v>4</v>
      </c>
      <c r="K5" s="36" t="s">
        <v>96</v>
      </c>
      <c r="L5" s="36">
        <v>3</v>
      </c>
      <c r="M5" s="36" t="s">
        <v>96</v>
      </c>
      <c r="N5" s="36">
        <v>9</v>
      </c>
      <c r="O5" s="36" t="s">
        <v>96</v>
      </c>
      <c r="P5" s="36">
        <v>3.5</v>
      </c>
      <c r="Q5" s="36" t="s">
        <v>96</v>
      </c>
      <c r="R5" s="36">
        <v>6.6</v>
      </c>
      <c r="S5" s="36" t="s">
        <v>96</v>
      </c>
      <c r="T5" s="36">
        <v>27.35</v>
      </c>
      <c r="U5" s="36" t="s">
        <v>96</v>
      </c>
      <c r="V5" s="36">
        <v>7.25</v>
      </c>
      <c r="W5" s="36" t="s">
        <v>96</v>
      </c>
      <c r="X5" s="36">
        <v>29.95</v>
      </c>
      <c r="Y5" s="36" t="s">
        <v>96</v>
      </c>
      <c r="Z5" s="36">
        <v>47</v>
      </c>
      <c r="AA5" s="36" t="s">
        <v>96</v>
      </c>
      <c r="AB5" s="36">
        <v>6.15</v>
      </c>
      <c r="AC5" s="36" t="s">
        <v>96</v>
      </c>
      <c r="AD5" s="36">
        <v>595</v>
      </c>
      <c r="AE5" s="36" t="s">
        <v>96</v>
      </c>
      <c r="AF5" s="36">
        <v>5.0000000000000001E-4</v>
      </c>
      <c r="AG5" s="36" t="s">
        <v>96</v>
      </c>
      <c r="AH5" s="36">
        <v>5.0000000000000001E-4</v>
      </c>
      <c r="AI5" s="36" t="s">
        <v>96</v>
      </c>
      <c r="AJ5" s="36">
        <v>0.1595</v>
      </c>
      <c r="AK5" s="36" t="s">
        <v>96</v>
      </c>
      <c r="AL5" s="36">
        <v>1.0499999999999999E-2</v>
      </c>
      <c r="AM5" s="36" t="s">
        <v>96</v>
      </c>
      <c r="AN5" s="36">
        <v>5.0000000000000001E-4</v>
      </c>
      <c r="AO5" s="36" t="s">
        <v>96</v>
      </c>
      <c r="AP5" s="36">
        <v>6.0999999999999999E-2</v>
      </c>
      <c r="AQ5" s="36" t="s">
        <v>96</v>
      </c>
      <c r="AR5" s="36">
        <v>10</v>
      </c>
    </row>
    <row r="6" spans="1:44">
      <c r="A6" s="36" t="s">
        <v>97</v>
      </c>
      <c r="B6" s="36">
        <v>2</v>
      </c>
      <c r="C6" s="36" t="s">
        <v>97</v>
      </c>
      <c r="D6" s="36">
        <v>1</v>
      </c>
      <c r="E6" s="36" t="s">
        <v>97</v>
      </c>
      <c r="F6" s="36">
        <v>1</v>
      </c>
      <c r="G6" s="36" t="s">
        <v>97</v>
      </c>
      <c r="H6" s="36">
        <v>2</v>
      </c>
      <c r="I6" s="36" t="s">
        <v>97</v>
      </c>
      <c r="J6" s="36">
        <v>5</v>
      </c>
      <c r="K6" s="36" t="s">
        <v>97</v>
      </c>
      <c r="L6" s="36">
        <v>3</v>
      </c>
      <c r="M6" s="36" t="s">
        <v>97</v>
      </c>
      <c r="N6" s="36">
        <v>10</v>
      </c>
      <c r="O6" s="36" t="s">
        <v>97</v>
      </c>
      <c r="P6" s="36">
        <v>5</v>
      </c>
      <c r="Q6" s="36" t="s">
        <v>97</v>
      </c>
      <c r="R6" s="36">
        <v>7</v>
      </c>
      <c r="S6" s="36" t="s">
        <v>97</v>
      </c>
      <c r="T6" s="36">
        <v>26.5</v>
      </c>
      <c r="U6" s="36" t="s">
        <v>97</v>
      </c>
      <c r="V6" s="36" t="e">
        <v>#N/A</v>
      </c>
      <c r="W6" s="36" t="s">
        <v>97</v>
      </c>
      <c r="X6" s="36" t="e">
        <v>#N/A</v>
      </c>
      <c r="Y6" s="36" t="s">
        <v>97</v>
      </c>
      <c r="Z6" s="36">
        <v>65</v>
      </c>
      <c r="AA6" s="36" t="s">
        <v>97</v>
      </c>
      <c r="AB6" s="36">
        <v>3.8</v>
      </c>
      <c r="AC6" s="36" t="s">
        <v>97</v>
      </c>
      <c r="AD6" s="36">
        <v>500</v>
      </c>
      <c r="AE6" s="36" t="s">
        <v>97</v>
      </c>
      <c r="AF6" s="36">
        <v>5.0000000000000001E-4</v>
      </c>
      <c r="AG6" s="36" t="s">
        <v>97</v>
      </c>
      <c r="AH6" s="36">
        <v>5.0000000000000001E-4</v>
      </c>
      <c r="AI6" s="36" t="s">
        <v>97</v>
      </c>
      <c r="AJ6" s="36" t="e">
        <v>#N/A</v>
      </c>
      <c r="AK6" s="36" t="s">
        <v>97</v>
      </c>
      <c r="AL6" s="36">
        <v>1.0999999999999999E-2</v>
      </c>
      <c r="AM6" s="36" t="s">
        <v>97</v>
      </c>
      <c r="AN6" s="36">
        <v>5.0000000000000001E-4</v>
      </c>
      <c r="AO6" s="36" t="s">
        <v>97</v>
      </c>
      <c r="AP6" s="36">
        <v>7.3999999999999996E-2</v>
      </c>
      <c r="AQ6" s="36" t="s">
        <v>97</v>
      </c>
      <c r="AR6" s="36">
        <v>7</v>
      </c>
    </row>
    <row r="7" spans="1:44">
      <c r="A7" s="36" t="s">
        <v>98</v>
      </c>
      <c r="B7" s="36">
        <v>1.837039096937831</v>
      </c>
      <c r="C7" s="36" t="s">
        <v>98</v>
      </c>
      <c r="D7" s="36">
        <v>1.6595249285580942</v>
      </c>
      <c r="E7" s="36" t="s">
        <v>98</v>
      </c>
      <c r="F7" s="36">
        <v>1.5668989800855393</v>
      </c>
      <c r="G7" s="36" t="s">
        <v>98</v>
      </c>
      <c r="H7" s="36">
        <v>1.3321834121764768</v>
      </c>
      <c r="I7" s="36" t="s">
        <v>98</v>
      </c>
      <c r="J7" s="36">
        <v>1.36289077492212</v>
      </c>
      <c r="K7" s="36" t="s">
        <v>98</v>
      </c>
      <c r="L7" s="36">
        <v>1.3308885632599343</v>
      </c>
      <c r="M7" s="36" t="s">
        <v>98</v>
      </c>
      <c r="N7" s="36">
        <v>2.4562844569254056</v>
      </c>
      <c r="O7" s="36" t="s">
        <v>98</v>
      </c>
      <c r="P7" s="36">
        <v>1.5905612397739564</v>
      </c>
      <c r="Q7" s="36" t="s">
        <v>98</v>
      </c>
      <c r="R7" s="36">
        <v>0.37410429426632591</v>
      </c>
      <c r="S7" s="36" t="s">
        <v>98</v>
      </c>
      <c r="T7" s="36">
        <v>0.90610318866327111</v>
      </c>
      <c r="U7" s="36" t="s">
        <v>98</v>
      </c>
      <c r="V7" s="36">
        <v>22.051183928389843</v>
      </c>
      <c r="W7" s="36" t="s">
        <v>98</v>
      </c>
      <c r="X7" s="36">
        <v>34.065923412275737</v>
      </c>
      <c r="Y7" s="36" t="s">
        <v>98</v>
      </c>
      <c r="Z7" s="36">
        <v>12.422449089423157</v>
      </c>
      <c r="AA7" s="36" t="s">
        <v>98</v>
      </c>
      <c r="AB7" s="36">
        <v>2.4459325842910218</v>
      </c>
      <c r="AC7" s="36" t="s">
        <v>98</v>
      </c>
      <c r="AD7" s="36">
        <v>154.4869149687174</v>
      </c>
      <c r="AE7" s="36" t="s">
        <v>98</v>
      </c>
      <c r="AF7" s="36">
        <v>4.1266236790511619E-3</v>
      </c>
      <c r="AG7" s="36" t="s">
        <v>98</v>
      </c>
      <c r="AH7" s="36">
        <v>3.308210656689669E-19</v>
      </c>
      <c r="AI7" s="36" t="s">
        <v>98</v>
      </c>
      <c r="AJ7" s="36">
        <v>9.9211349925414319E-2</v>
      </c>
      <c r="AK7" s="36" t="s">
        <v>98</v>
      </c>
      <c r="AL7" s="36">
        <v>7.8550262113890514E-3</v>
      </c>
      <c r="AM7" s="36" t="s">
        <v>98</v>
      </c>
      <c r="AN7" s="36">
        <v>3.308210656689669E-19</v>
      </c>
      <c r="AO7" s="36" t="s">
        <v>98</v>
      </c>
      <c r="AP7" s="36">
        <v>4.2861565453252502E-2</v>
      </c>
      <c r="AQ7" s="36" t="s">
        <v>98</v>
      </c>
      <c r="AR7" s="36">
        <v>3.6904661263700902</v>
      </c>
    </row>
    <row r="8" spans="1:44">
      <c r="A8" s="36" t="s">
        <v>99</v>
      </c>
      <c r="B8" s="36">
        <v>3.3747126436781612</v>
      </c>
      <c r="C8" s="36" t="s">
        <v>99</v>
      </c>
      <c r="D8" s="36">
        <v>2.7540229885057474</v>
      </c>
      <c r="E8" s="36" t="s">
        <v>99</v>
      </c>
      <c r="F8" s="36">
        <v>2.455172413793103</v>
      </c>
      <c r="G8" s="36" t="s">
        <v>99</v>
      </c>
      <c r="H8" s="36">
        <v>1.7747126436781611</v>
      </c>
      <c r="I8" s="36" t="s">
        <v>99</v>
      </c>
      <c r="J8" s="36">
        <v>1.8574712643678164</v>
      </c>
      <c r="K8" s="36" t="s">
        <v>99</v>
      </c>
      <c r="L8" s="36">
        <v>1.7712643678160922</v>
      </c>
      <c r="M8" s="36" t="s">
        <v>99</v>
      </c>
      <c r="N8" s="36">
        <v>6.0333333333333341</v>
      </c>
      <c r="O8" s="36" t="s">
        <v>99</v>
      </c>
      <c r="P8" s="36">
        <v>2.5298850574712648</v>
      </c>
      <c r="Q8" s="36" t="s">
        <v>99</v>
      </c>
      <c r="R8" s="36">
        <v>0.13995402298850576</v>
      </c>
      <c r="S8" s="36" t="s">
        <v>99</v>
      </c>
      <c r="T8" s="36">
        <v>0.8210229885057474</v>
      </c>
      <c r="U8" s="36" t="s">
        <v>99</v>
      </c>
      <c r="V8" s="36">
        <v>486.25471264367849</v>
      </c>
      <c r="W8" s="36" t="s">
        <v>99</v>
      </c>
      <c r="X8" s="36">
        <v>1160.4871379310362</v>
      </c>
      <c r="Y8" s="36" t="s">
        <v>99</v>
      </c>
      <c r="Z8" s="36">
        <v>154.31724137931025</v>
      </c>
      <c r="AA8" s="36" t="s">
        <v>99</v>
      </c>
      <c r="AB8" s="36">
        <v>5.9825862068965554</v>
      </c>
      <c r="AC8" s="36" t="s">
        <v>99</v>
      </c>
      <c r="AD8" s="36">
        <v>23866.206896551725</v>
      </c>
      <c r="AE8" s="36" t="s">
        <v>99</v>
      </c>
      <c r="AF8" s="36">
        <v>1.7029022988505745E-5</v>
      </c>
      <c r="AG8" s="36" t="s">
        <v>99</v>
      </c>
      <c r="AH8" s="36">
        <v>1.094425774903509E-37</v>
      </c>
      <c r="AI8" s="36" t="s">
        <v>99</v>
      </c>
      <c r="AJ8" s="36">
        <v>9.8428919540230076E-3</v>
      </c>
      <c r="AK8" s="36" t="s">
        <v>99</v>
      </c>
      <c r="AL8" s="36">
        <v>6.1701436781609034E-5</v>
      </c>
      <c r="AM8" s="36" t="s">
        <v>99</v>
      </c>
      <c r="AN8" s="36">
        <v>1.094425774903509E-37</v>
      </c>
      <c r="AO8" s="36" t="s">
        <v>99</v>
      </c>
      <c r="AP8" s="36">
        <v>1.8371137931034482E-3</v>
      </c>
      <c r="AQ8" s="36" t="s">
        <v>99</v>
      </c>
      <c r="AR8" s="36">
        <v>13.619540229885059</v>
      </c>
    </row>
    <row r="9" spans="1:44">
      <c r="A9" s="36" t="s">
        <v>100</v>
      </c>
      <c r="B9" s="36">
        <v>-1.0336649880200222</v>
      </c>
      <c r="C9" s="36" t="s">
        <v>100</v>
      </c>
      <c r="D9" s="36">
        <v>-0.59013611604044769</v>
      </c>
      <c r="E9" s="36" t="s">
        <v>100</v>
      </c>
      <c r="F9" s="36">
        <v>1.0557053482504837</v>
      </c>
      <c r="G9" s="36" t="s">
        <v>100</v>
      </c>
      <c r="H9" s="36">
        <v>1.5244872345566303</v>
      </c>
      <c r="I9" s="36" t="s">
        <v>100</v>
      </c>
      <c r="J9" s="36">
        <v>-0.29183719733359714</v>
      </c>
      <c r="K9" s="36" t="s">
        <v>100</v>
      </c>
      <c r="L9" s="36">
        <v>-0.89935628647143862</v>
      </c>
      <c r="M9" s="36" t="s">
        <v>100</v>
      </c>
      <c r="N9" s="36">
        <v>-0.94507571856059025</v>
      </c>
      <c r="O9" s="36" t="s">
        <v>100</v>
      </c>
      <c r="P9" s="36">
        <v>-0.82474858236196003</v>
      </c>
      <c r="Q9" s="36" t="s">
        <v>100</v>
      </c>
      <c r="R9" s="36">
        <v>-0.8789425436505125</v>
      </c>
      <c r="S9" s="36" t="s">
        <v>100</v>
      </c>
      <c r="T9" s="36">
        <v>-0.83405715500411493</v>
      </c>
      <c r="U9" s="36" t="s">
        <v>100</v>
      </c>
      <c r="V9" s="36">
        <v>-0.82265466227795914</v>
      </c>
      <c r="W9" s="36" t="s">
        <v>100</v>
      </c>
      <c r="X9" s="36">
        <v>0.35610911435301507</v>
      </c>
      <c r="Y9" s="36" t="s">
        <v>100</v>
      </c>
      <c r="Z9" s="36">
        <v>-1.079925859626794</v>
      </c>
      <c r="AA9" s="36" t="s">
        <v>100</v>
      </c>
      <c r="AB9" s="36">
        <v>-1.0161846398981536</v>
      </c>
      <c r="AC9" s="36" t="s">
        <v>100</v>
      </c>
      <c r="AD9" s="36">
        <v>-1.057963176647033</v>
      </c>
      <c r="AE9" s="36" t="s">
        <v>100</v>
      </c>
      <c r="AF9" s="36">
        <v>2.2211908153936037</v>
      </c>
      <c r="AG9" s="36" t="s">
        <v>100</v>
      </c>
      <c r="AH9" s="36">
        <v>-2.1481481481481479</v>
      </c>
      <c r="AI9" s="36" t="s">
        <v>100</v>
      </c>
      <c r="AJ9" s="36">
        <v>5.2332066969907043</v>
      </c>
      <c r="AK9" s="36" t="s">
        <v>100</v>
      </c>
      <c r="AL9" s="36">
        <v>1.728162077069157</v>
      </c>
      <c r="AM9" s="36" t="s">
        <v>100</v>
      </c>
      <c r="AN9" s="36">
        <v>-2.1481481481481479</v>
      </c>
      <c r="AO9" s="36" t="s">
        <v>100</v>
      </c>
      <c r="AP9" s="36">
        <v>9.073503704910582</v>
      </c>
      <c r="AQ9" s="36" t="s">
        <v>100</v>
      </c>
      <c r="AR9" s="36">
        <v>0.49818548155346587</v>
      </c>
    </row>
    <row r="10" spans="1:44">
      <c r="A10" s="36" t="s">
        <v>101</v>
      </c>
      <c r="B10" s="36">
        <v>0.10976079808007462</v>
      </c>
      <c r="C10" s="36" t="s">
        <v>101</v>
      </c>
      <c r="D10" s="36">
        <v>0.36811686710105868</v>
      </c>
      <c r="E10" s="36" t="s">
        <v>101</v>
      </c>
      <c r="F10" s="36">
        <v>0.832071554832992</v>
      </c>
      <c r="G10" s="36" t="s">
        <v>101</v>
      </c>
      <c r="H10" s="36">
        <v>1.1079133187542465</v>
      </c>
      <c r="I10" s="36" t="s">
        <v>101</v>
      </c>
      <c r="J10" s="36">
        <v>-0.48478887514081248</v>
      </c>
      <c r="K10" s="36" t="s">
        <v>101</v>
      </c>
      <c r="L10" s="36">
        <v>0.12879367613808343</v>
      </c>
      <c r="M10" s="36" t="s">
        <v>101</v>
      </c>
      <c r="N10" s="36">
        <v>0.13087905948426412</v>
      </c>
      <c r="O10" s="36" t="s">
        <v>101</v>
      </c>
      <c r="P10" s="36">
        <v>6.2597484612427937E-2</v>
      </c>
      <c r="Q10" s="36" t="s">
        <v>101</v>
      </c>
      <c r="R10" s="36">
        <v>0.1952790233930162</v>
      </c>
      <c r="S10" s="36" t="s">
        <v>101</v>
      </c>
      <c r="T10" s="36">
        <v>0.19145541181217571</v>
      </c>
      <c r="U10" s="36" t="s">
        <v>101</v>
      </c>
      <c r="V10" s="36">
        <v>0.97512534929692696</v>
      </c>
      <c r="W10" s="36" t="s">
        <v>101</v>
      </c>
      <c r="X10" s="36">
        <v>1.1603854562958467</v>
      </c>
      <c r="Y10" s="36" t="s">
        <v>101</v>
      </c>
      <c r="Z10" s="36">
        <v>0.34189539183539774</v>
      </c>
      <c r="AA10" s="36" t="s">
        <v>101</v>
      </c>
      <c r="AB10" s="36">
        <v>0.12327472131536994</v>
      </c>
      <c r="AC10" s="36" t="s">
        <v>101</v>
      </c>
      <c r="AD10" s="36">
        <v>0.2015663042890258</v>
      </c>
      <c r="AE10" s="36" t="s">
        <v>101</v>
      </c>
      <c r="AF10" s="36">
        <v>1.7871229653231717</v>
      </c>
      <c r="AG10" s="36" t="s">
        <v>101</v>
      </c>
      <c r="AH10" s="36">
        <v>-1.0534200859823297</v>
      </c>
      <c r="AI10" s="36" t="s">
        <v>101</v>
      </c>
      <c r="AJ10" s="36">
        <v>1.7175969781258791</v>
      </c>
      <c r="AK10" s="36" t="s">
        <v>101</v>
      </c>
      <c r="AL10" s="36">
        <v>1.0348706508503702</v>
      </c>
      <c r="AM10" s="36" t="s">
        <v>101</v>
      </c>
      <c r="AN10" s="36">
        <v>-1.0534200859823297</v>
      </c>
      <c r="AO10" s="36" t="s">
        <v>101</v>
      </c>
      <c r="AP10" s="36">
        <v>2.4747731396100581</v>
      </c>
      <c r="AQ10" s="36" t="s">
        <v>101</v>
      </c>
      <c r="AR10" s="36">
        <v>-0.16240532801423879</v>
      </c>
    </row>
    <row r="11" spans="1:44">
      <c r="A11" s="36" t="s">
        <v>102</v>
      </c>
      <c r="B11" s="36">
        <v>6</v>
      </c>
      <c r="C11" s="36" t="s">
        <v>102</v>
      </c>
      <c r="D11" s="36">
        <v>6</v>
      </c>
      <c r="E11" s="36" t="s">
        <v>102</v>
      </c>
      <c r="F11" s="36">
        <v>7</v>
      </c>
      <c r="G11" s="36" t="s">
        <v>102</v>
      </c>
      <c r="H11" s="36">
        <v>5</v>
      </c>
      <c r="I11" s="36" t="s">
        <v>102</v>
      </c>
      <c r="J11" s="36">
        <v>5</v>
      </c>
      <c r="K11" s="36" t="s">
        <v>102</v>
      </c>
      <c r="L11" s="36">
        <v>5</v>
      </c>
      <c r="M11" s="36" t="s">
        <v>102</v>
      </c>
      <c r="N11" s="36">
        <v>8</v>
      </c>
      <c r="O11" s="36" t="s">
        <v>102</v>
      </c>
      <c r="P11" s="36">
        <v>6</v>
      </c>
      <c r="Q11" s="36" t="s">
        <v>102</v>
      </c>
      <c r="R11" s="36">
        <v>1.4000000000000004</v>
      </c>
      <c r="S11" s="36" t="s">
        <v>102</v>
      </c>
      <c r="T11" s="36">
        <v>3.1999999999999993</v>
      </c>
      <c r="U11" s="36" t="s">
        <v>102</v>
      </c>
      <c r="V11" s="36">
        <v>60.8</v>
      </c>
      <c r="W11" s="36" t="s">
        <v>102</v>
      </c>
      <c r="X11" s="36">
        <v>118.1</v>
      </c>
      <c r="Y11" s="36" t="s">
        <v>102</v>
      </c>
      <c r="Z11" s="36">
        <v>42</v>
      </c>
      <c r="AA11" s="36" t="s">
        <v>102</v>
      </c>
      <c r="AB11" s="36">
        <v>8.9</v>
      </c>
      <c r="AC11" s="36" t="s">
        <v>102</v>
      </c>
      <c r="AD11" s="36">
        <v>560</v>
      </c>
      <c r="AE11" s="36" t="s">
        <v>102</v>
      </c>
      <c r="AF11" s="36">
        <v>1.35E-2</v>
      </c>
      <c r="AG11" s="36" t="s">
        <v>102</v>
      </c>
      <c r="AH11" s="36">
        <v>0</v>
      </c>
      <c r="AI11" s="36" t="s">
        <v>102</v>
      </c>
      <c r="AJ11" s="36">
        <v>0.50600000000000001</v>
      </c>
      <c r="AK11" s="36" t="s">
        <v>102</v>
      </c>
      <c r="AL11" s="36">
        <v>3.4500000000000003E-2</v>
      </c>
      <c r="AM11" s="36" t="s">
        <v>102</v>
      </c>
      <c r="AN11" s="36">
        <v>0</v>
      </c>
      <c r="AO11" s="36" t="s">
        <v>102</v>
      </c>
      <c r="AP11" s="36">
        <v>0.224</v>
      </c>
      <c r="AQ11" s="36" t="s">
        <v>102</v>
      </c>
      <c r="AR11" s="36">
        <v>17</v>
      </c>
    </row>
    <row r="12" spans="1:44">
      <c r="A12" s="36" t="s">
        <v>103</v>
      </c>
      <c r="B12" s="36">
        <v>0</v>
      </c>
      <c r="C12" s="36" t="s">
        <v>103</v>
      </c>
      <c r="D12" s="36">
        <v>0</v>
      </c>
      <c r="E12" s="36" t="s">
        <v>103</v>
      </c>
      <c r="F12" s="36">
        <v>0</v>
      </c>
      <c r="G12" s="36" t="s">
        <v>103</v>
      </c>
      <c r="H12" s="36">
        <v>0</v>
      </c>
      <c r="I12" s="36" t="s">
        <v>103</v>
      </c>
      <c r="J12" s="36">
        <v>1</v>
      </c>
      <c r="K12" s="36" t="s">
        <v>103</v>
      </c>
      <c r="L12" s="36">
        <v>1</v>
      </c>
      <c r="M12" s="36" t="s">
        <v>103</v>
      </c>
      <c r="N12" s="36">
        <v>5</v>
      </c>
      <c r="O12" s="36" t="s">
        <v>103</v>
      </c>
      <c r="P12" s="36">
        <v>1</v>
      </c>
      <c r="Q12" s="36" t="s">
        <v>103</v>
      </c>
      <c r="R12" s="36">
        <v>6</v>
      </c>
      <c r="S12" s="36" t="s">
        <v>103</v>
      </c>
      <c r="T12" s="36">
        <v>25.8</v>
      </c>
      <c r="U12" s="36" t="s">
        <v>103</v>
      </c>
      <c r="V12" s="36">
        <v>4.5</v>
      </c>
      <c r="W12" s="36" t="s">
        <v>103</v>
      </c>
      <c r="X12" s="36">
        <v>6.5</v>
      </c>
      <c r="Y12" s="36" t="s">
        <v>103</v>
      </c>
      <c r="Z12" s="36">
        <v>30</v>
      </c>
      <c r="AA12" s="36" t="s">
        <v>103</v>
      </c>
      <c r="AB12" s="36">
        <v>2.1</v>
      </c>
      <c r="AC12" s="36" t="s">
        <v>103</v>
      </c>
      <c r="AD12" s="36">
        <v>350</v>
      </c>
      <c r="AE12" s="36" t="s">
        <v>103</v>
      </c>
      <c r="AF12" s="36">
        <v>5.0000000000000001E-4</v>
      </c>
      <c r="AG12" s="36" t="s">
        <v>103</v>
      </c>
      <c r="AH12" s="36">
        <v>5.0000000000000001E-4</v>
      </c>
      <c r="AI12" s="36" t="s">
        <v>103</v>
      </c>
      <c r="AJ12" s="36">
        <v>3.1E-2</v>
      </c>
      <c r="AK12" s="36" t="s">
        <v>103</v>
      </c>
      <c r="AL12" s="36">
        <v>5.0000000000000001E-4</v>
      </c>
      <c r="AM12" s="36" t="s">
        <v>103</v>
      </c>
      <c r="AN12" s="36">
        <v>5.0000000000000001E-4</v>
      </c>
      <c r="AO12" s="36" t="s">
        <v>103</v>
      </c>
      <c r="AP12" s="36">
        <v>1.9E-2</v>
      </c>
      <c r="AQ12" s="36" t="s">
        <v>103</v>
      </c>
      <c r="AR12" s="36">
        <v>1</v>
      </c>
    </row>
    <row r="13" spans="1:44">
      <c r="A13" s="36" t="s">
        <v>104</v>
      </c>
      <c r="B13" s="36">
        <v>6</v>
      </c>
      <c r="C13" s="36" t="s">
        <v>104</v>
      </c>
      <c r="D13" s="36">
        <v>6</v>
      </c>
      <c r="E13" s="36" t="s">
        <v>104</v>
      </c>
      <c r="F13" s="36">
        <v>7</v>
      </c>
      <c r="G13" s="36" t="s">
        <v>104</v>
      </c>
      <c r="H13" s="36">
        <v>5</v>
      </c>
      <c r="I13" s="36" t="s">
        <v>104</v>
      </c>
      <c r="J13" s="36">
        <v>6</v>
      </c>
      <c r="K13" s="36" t="s">
        <v>104</v>
      </c>
      <c r="L13" s="36">
        <v>6</v>
      </c>
      <c r="M13" s="36" t="s">
        <v>104</v>
      </c>
      <c r="N13" s="36">
        <v>13</v>
      </c>
      <c r="O13" s="36" t="s">
        <v>104</v>
      </c>
      <c r="P13" s="36">
        <v>7</v>
      </c>
      <c r="Q13" s="36" t="s">
        <v>104</v>
      </c>
      <c r="R13" s="36">
        <v>7.4</v>
      </c>
      <c r="S13" s="36" t="s">
        <v>104</v>
      </c>
      <c r="T13" s="36">
        <v>29</v>
      </c>
      <c r="U13" s="36" t="s">
        <v>104</v>
      </c>
      <c r="V13" s="36">
        <v>65.3</v>
      </c>
      <c r="W13" s="36" t="s">
        <v>104</v>
      </c>
      <c r="X13" s="36">
        <v>124.6</v>
      </c>
      <c r="Y13" s="36" t="s">
        <v>104</v>
      </c>
      <c r="Z13" s="36">
        <v>72</v>
      </c>
      <c r="AA13" s="36" t="s">
        <v>104</v>
      </c>
      <c r="AB13" s="36">
        <v>11</v>
      </c>
      <c r="AC13" s="36" t="s">
        <v>104</v>
      </c>
      <c r="AD13" s="36">
        <v>910</v>
      </c>
      <c r="AE13" s="36" t="s">
        <v>104</v>
      </c>
      <c r="AF13" s="36">
        <v>1.4E-2</v>
      </c>
      <c r="AG13" s="36" t="s">
        <v>104</v>
      </c>
      <c r="AH13" s="36">
        <v>5.0000000000000001E-4</v>
      </c>
      <c r="AI13" s="36" t="s">
        <v>104</v>
      </c>
      <c r="AJ13" s="36">
        <v>0.53700000000000003</v>
      </c>
      <c r="AK13" s="36" t="s">
        <v>104</v>
      </c>
      <c r="AL13" s="36">
        <v>3.5000000000000003E-2</v>
      </c>
      <c r="AM13" s="36" t="s">
        <v>104</v>
      </c>
      <c r="AN13" s="36">
        <v>5.0000000000000001E-4</v>
      </c>
      <c r="AO13" s="36" t="s">
        <v>104</v>
      </c>
      <c r="AP13" s="36">
        <v>0.24299999999999999</v>
      </c>
      <c r="AQ13" s="36" t="s">
        <v>104</v>
      </c>
      <c r="AR13" s="36">
        <v>18</v>
      </c>
    </row>
    <row r="14" spans="1:44">
      <c r="A14" s="36" t="s">
        <v>105</v>
      </c>
      <c r="B14" s="36">
        <v>92</v>
      </c>
      <c r="C14" s="36" t="s">
        <v>105</v>
      </c>
      <c r="D14" s="36">
        <v>68</v>
      </c>
      <c r="E14" s="36" t="s">
        <v>105</v>
      </c>
      <c r="F14" s="36">
        <v>72</v>
      </c>
      <c r="G14" s="36" t="s">
        <v>105</v>
      </c>
      <c r="H14" s="36">
        <v>44</v>
      </c>
      <c r="I14" s="36" t="s">
        <v>105</v>
      </c>
      <c r="J14" s="36">
        <v>118</v>
      </c>
      <c r="K14" s="36" t="s">
        <v>105</v>
      </c>
      <c r="L14" s="36">
        <v>107</v>
      </c>
      <c r="M14" s="36" t="s">
        <v>105</v>
      </c>
      <c r="N14" s="36">
        <v>269</v>
      </c>
      <c r="O14" s="36" t="s">
        <v>105</v>
      </c>
      <c r="P14" s="36">
        <v>107</v>
      </c>
      <c r="Q14" s="36" t="s">
        <v>105</v>
      </c>
      <c r="R14" s="36">
        <v>198.8</v>
      </c>
      <c r="S14" s="36" t="s">
        <v>105</v>
      </c>
      <c r="T14" s="36">
        <v>821.9</v>
      </c>
      <c r="U14" s="36" t="s">
        <v>105</v>
      </c>
      <c r="V14" s="36">
        <v>631.99999999999977</v>
      </c>
      <c r="W14" s="36" t="s">
        <v>105</v>
      </c>
      <c r="X14" s="36">
        <v>1271.6999999999998</v>
      </c>
      <c r="Y14" s="36" t="s">
        <v>105</v>
      </c>
      <c r="Z14" s="36">
        <v>1452</v>
      </c>
      <c r="AA14" s="36" t="s">
        <v>105</v>
      </c>
      <c r="AB14" s="36">
        <v>184.5</v>
      </c>
      <c r="AC14" s="36" t="s">
        <v>105</v>
      </c>
      <c r="AD14" s="36">
        <v>18180</v>
      </c>
      <c r="AE14" s="36" t="s">
        <v>105</v>
      </c>
      <c r="AF14" s="36">
        <v>8.3500000000000005E-2</v>
      </c>
      <c r="AG14" s="36" t="s">
        <v>105</v>
      </c>
      <c r="AH14" s="36">
        <v>1.500000000000001E-2</v>
      </c>
      <c r="AI14" s="36" t="s">
        <v>105</v>
      </c>
      <c r="AJ14" s="36">
        <v>5.161999999999999</v>
      </c>
      <c r="AK14" s="36" t="s">
        <v>105</v>
      </c>
      <c r="AL14" s="36">
        <v>0.32150000000000017</v>
      </c>
      <c r="AM14" s="36" t="s">
        <v>105</v>
      </c>
      <c r="AN14" s="36">
        <v>1.500000000000001E-2</v>
      </c>
      <c r="AO14" s="36" t="s">
        <v>105</v>
      </c>
      <c r="AP14" s="36">
        <v>2.0309999999999997</v>
      </c>
      <c r="AQ14" s="36" t="s">
        <v>105</v>
      </c>
      <c r="AR14" s="36">
        <v>281</v>
      </c>
    </row>
    <row r="15" spans="1:44">
      <c r="A15" s="36" t="s">
        <v>106</v>
      </c>
      <c r="B15" s="36">
        <v>30</v>
      </c>
      <c r="C15" s="36" t="s">
        <v>106</v>
      </c>
      <c r="D15" s="36">
        <v>30</v>
      </c>
      <c r="E15" s="36" t="s">
        <v>106</v>
      </c>
      <c r="F15" s="36">
        <v>30</v>
      </c>
      <c r="G15" s="36" t="s">
        <v>106</v>
      </c>
      <c r="H15" s="36">
        <v>30</v>
      </c>
      <c r="I15" s="36" t="s">
        <v>106</v>
      </c>
      <c r="J15" s="36">
        <v>30</v>
      </c>
      <c r="K15" s="36" t="s">
        <v>106</v>
      </c>
      <c r="L15" s="36">
        <v>30</v>
      </c>
      <c r="M15" s="36" t="s">
        <v>106</v>
      </c>
      <c r="N15" s="36">
        <v>30</v>
      </c>
      <c r="O15" s="36" t="s">
        <v>106</v>
      </c>
      <c r="P15" s="36">
        <v>30</v>
      </c>
      <c r="Q15" s="36" t="s">
        <v>106</v>
      </c>
      <c r="R15" s="36">
        <v>30</v>
      </c>
      <c r="S15" s="36" t="s">
        <v>106</v>
      </c>
      <c r="T15" s="36">
        <v>30</v>
      </c>
      <c r="U15" s="36" t="s">
        <v>106</v>
      </c>
      <c r="V15" s="36">
        <v>30</v>
      </c>
      <c r="W15" s="36" t="s">
        <v>106</v>
      </c>
      <c r="X15" s="36">
        <v>30</v>
      </c>
      <c r="Y15" s="36" t="s">
        <v>106</v>
      </c>
      <c r="Z15" s="36">
        <v>30</v>
      </c>
      <c r="AA15" s="36" t="s">
        <v>106</v>
      </c>
      <c r="AB15" s="36">
        <v>30</v>
      </c>
      <c r="AC15" s="36" t="s">
        <v>106</v>
      </c>
      <c r="AD15" s="36">
        <v>30</v>
      </c>
      <c r="AE15" s="36" t="s">
        <v>106</v>
      </c>
      <c r="AF15" s="36">
        <v>30</v>
      </c>
      <c r="AG15" s="36" t="s">
        <v>106</v>
      </c>
      <c r="AH15" s="36">
        <v>30</v>
      </c>
      <c r="AI15" s="36" t="s">
        <v>106</v>
      </c>
      <c r="AJ15" s="36">
        <v>30</v>
      </c>
      <c r="AK15" s="36" t="s">
        <v>106</v>
      </c>
      <c r="AL15" s="36">
        <v>30</v>
      </c>
      <c r="AM15" s="36" t="s">
        <v>106</v>
      </c>
      <c r="AN15" s="36">
        <v>30</v>
      </c>
      <c r="AO15" s="36" t="s">
        <v>106</v>
      </c>
      <c r="AP15" s="36">
        <v>30</v>
      </c>
      <c r="AQ15" s="36" t="s">
        <v>106</v>
      </c>
      <c r="AR15" s="36">
        <v>30</v>
      </c>
    </row>
    <row r="16" spans="1:44">
      <c r="A16" s="36" t="s">
        <v>107</v>
      </c>
      <c r="B16" s="36">
        <v>6</v>
      </c>
      <c r="C16" s="36" t="s">
        <v>107</v>
      </c>
      <c r="D16" s="36">
        <v>6</v>
      </c>
      <c r="E16" s="36" t="s">
        <v>107</v>
      </c>
      <c r="F16" s="36">
        <v>7</v>
      </c>
      <c r="G16" s="36" t="s">
        <v>107</v>
      </c>
      <c r="H16" s="36">
        <v>5</v>
      </c>
      <c r="I16" s="36" t="s">
        <v>107</v>
      </c>
      <c r="J16" s="36">
        <v>6</v>
      </c>
      <c r="K16" s="36" t="s">
        <v>107</v>
      </c>
      <c r="L16" s="36">
        <v>6</v>
      </c>
      <c r="M16" s="36" t="s">
        <v>107</v>
      </c>
      <c r="N16" s="36">
        <v>13</v>
      </c>
      <c r="O16" s="36" t="s">
        <v>107</v>
      </c>
      <c r="P16" s="36">
        <v>7</v>
      </c>
      <c r="Q16" s="36" t="s">
        <v>107</v>
      </c>
      <c r="R16" s="36">
        <v>7.4</v>
      </c>
      <c r="S16" s="36" t="s">
        <v>107</v>
      </c>
      <c r="T16" s="36">
        <v>29</v>
      </c>
      <c r="U16" s="36" t="s">
        <v>107</v>
      </c>
      <c r="V16" s="36">
        <v>65.3</v>
      </c>
      <c r="W16" s="36" t="s">
        <v>107</v>
      </c>
      <c r="X16" s="36">
        <v>124.6</v>
      </c>
      <c r="Y16" s="36" t="s">
        <v>107</v>
      </c>
      <c r="Z16" s="36">
        <v>72</v>
      </c>
      <c r="AA16" s="36" t="s">
        <v>107</v>
      </c>
      <c r="AB16" s="36">
        <v>11</v>
      </c>
      <c r="AC16" s="36" t="s">
        <v>107</v>
      </c>
      <c r="AD16" s="36">
        <v>910</v>
      </c>
      <c r="AE16" s="36" t="s">
        <v>107</v>
      </c>
      <c r="AF16" s="36">
        <v>1.4E-2</v>
      </c>
      <c r="AG16" s="36" t="s">
        <v>107</v>
      </c>
      <c r="AH16" s="36">
        <v>5.0000000000000001E-4</v>
      </c>
      <c r="AI16" s="36" t="s">
        <v>107</v>
      </c>
      <c r="AJ16" s="36">
        <v>0.53700000000000003</v>
      </c>
      <c r="AK16" s="36" t="s">
        <v>107</v>
      </c>
      <c r="AL16" s="36">
        <v>3.5000000000000003E-2</v>
      </c>
      <c r="AM16" s="36" t="s">
        <v>107</v>
      </c>
      <c r="AN16" s="36">
        <v>5.0000000000000001E-4</v>
      </c>
      <c r="AO16" s="36" t="s">
        <v>107</v>
      </c>
      <c r="AP16" s="36">
        <v>0.24299999999999999</v>
      </c>
      <c r="AQ16" s="36" t="s">
        <v>107</v>
      </c>
      <c r="AR16" s="36">
        <v>18</v>
      </c>
    </row>
    <row r="17" spans="1:44">
      <c r="A17" s="36" t="s">
        <v>108</v>
      </c>
      <c r="B17" s="36">
        <v>0</v>
      </c>
      <c r="C17" s="36" t="s">
        <v>108</v>
      </c>
      <c r="D17" s="36">
        <v>0</v>
      </c>
      <c r="E17" s="36" t="s">
        <v>108</v>
      </c>
      <c r="F17" s="36">
        <v>0</v>
      </c>
      <c r="G17" s="36" t="s">
        <v>108</v>
      </c>
      <c r="H17" s="36">
        <v>0</v>
      </c>
      <c r="I17" s="36" t="s">
        <v>108</v>
      </c>
      <c r="J17" s="36">
        <v>1</v>
      </c>
      <c r="K17" s="36" t="s">
        <v>108</v>
      </c>
      <c r="L17" s="36">
        <v>1</v>
      </c>
      <c r="M17" s="36" t="s">
        <v>108</v>
      </c>
      <c r="N17" s="36">
        <v>5</v>
      </c>
      <c r="O17" s="36" t="s">
        <v>108</v>
      </c>
      <c r="P17" s="36">
        <v>1</v>
      </c>
      <c r="Q17" s="36" t="s">
        <v>108</v>
      </c>
      <c r="R17" s="36">
        <v>6</v>
      </c>
      <c r="S17" s="36" t="s">
        <v>108</v>
      </c>
      <c r="T17" s="36">
        <v>25.8</v>
      </c>
      <c r="U17" s="36" t="s">
        <v>108</v>
      </c>
      <c r="V17" s="36">
        <v>4.5</v>
      </c>
      <c r="W17" s="36" t="s">
        <v>108</v>
      </c>
      <c r="X17" s="36">
        <v>6.5</v>
      </c>
      <c r="Y17" s="36" t="s">
        <v>108</v>
      </c>
      <c r="Z17" s="36">
        <v>30</v>
      </c>
      <c r="AA17" s="36" t="s">
        <v>108</v>
      </c>
      <c r="AB17" s="36">
        <v>2.1</v>
      </c>
      <c r="AC17" s="36" t="s">
        <v>108</v>
      </c>
      <c r="AD17" s="36">
        <v>350</v>
      </c>
      <c r="AE17" s="36" t="s">
        <v>108</v>
      </c>
      <c r="AF17" s="36">
        <v>5.0000000000000001E-4</v>
      </c>
      <c r="AG17" s="36" t="s">
        <v>108</v>
      </c>
      <c r="AH17" s="36">
        <v>5.0000000000000001E-4</v>
      </c>
      <c r="AI17" s="36" t="s">
        <v>108</v>
      </c>
      <c r="AJ17" s="36">
        <v>3.1E-2</v>
      </c>
      <c r="AK17" s="36" t="s">
        <v>108</v>
      </c>
      <c r="AL17" s="36">
        <v>5.0000000000000001E-4</v>
      </c>
      <c r="AM17" s="36" t="s">
        <v>108</v>
      </c>
      <c r="AN17" s="36">
        <v>5.0000000000000001E-4</v>
      </c>
      <c r="AO17" s="36" t="s">
        <v>108</v>
      </c>
      <c r="AP17" s="36">
        <v>1.9E-2</v>
      </c>
      <c r="AQ17" s="36" t="s">
        <v>108</v>
      </c>
      <c r="AR17" s="36">
        <v>1</v>
      </c>
    </row>
    <row r="18" spans="1:44" ht="15.75" thickBot="1">
      <c r="A18" s="37" t="s">
        <v>109</v>
      </c>
      <c r="B18" s="37">
        <v>0.68596167226114413</v>
      </c>
      <c r="C18" s="37" t="s">
        <v>109</v>
      </c>
      <c r="D18" s="37">
        <v>0.61967679242663976</v>
      </c>
      <c r="E18" s="37" t="s">
        <v>109</v>
      </c>
      <c r="F18" s="37">
        <v>0.58508969484394824</v>
      </c>
      <c r="G18" s="37" t="s">
        <v>109</v>
      </c>
      <c r="H18" s="37">
        <v>0.49744546139404183</v>
      </c>
      <c r="I18" s="37" t="s">
        <v>109</v>
      </c>
      <c r="J18" s="37">
        <v>0.50891177908692198</v>
      </c>
      <c r="K18" s="37" t="s">
        <v>109</v>
      </c>
      <c r="L18" s="37">
        <v>0.49696195686243022</v>
      </c>
      <c r="M18" s="37" t="s">
        <v>109</v>
      </c>
      <c r="N18" s="37">
        <v>0.9171916898394834</v>
      </c>
      <c r="O18" s="37" t="s">
        <v>109</v>
      </c>
      <c r="P18" s="37">
        <v>0.59392532782116703</v>
      </c>
      <c r="Q18" s="37" t="s">
        <v>109</v>
      </c>
      <c r="R18" s="37">
        <v>0.13969283926660417</v>
      </c>
      <c r="S18" s="37" t="s">
        <v>109</v>
      </c>
      <c r="T18" s="37">
        <v>0.3383444911829479</v>
      </c>
      <c r="U18" s="37" t="s">
        <v>109</v>
      </c>
      <c r="V18" s="37">
        <v>8.2340474016423535</v>
      </c>
      <c r="W18" s="37" t="s">
        <v>109</v>
      </c>
      <c r="X18" s="37">
        <v>12.720424856475192</v>
      </c>
      <c r="Y18" s="37" t="s">
        <v>109</v>
      </c>
      <c r="Z18" s="37">
        <v>4.6386187235556777</v>
      </c>
      <c r="AA18" s="37" t="s">
        <v>109</v>
      </c>
      <c r="AB18" s="37">
        <v>0.91332623707086613</v>
      </c>
      <c r="AC18" s="37" t="s">
        <v>109</v>
      </c>
      <c r="AD18" s="37">
        <v>57.686362098145857</v>
      </c>
      <c r="AE18" s="37" t="s">
        <v>109</v>
      </c>
      <c r="AF18" s="37">
        <v>1.5409066058489919E-3</v>
      </c>
      <c r="AG18" s="37" t="s">
        <v>109</v>
      </c>
      <c r="AH18" s="37">
        <v>1.2353061608964662E-19</v>
      </c>
      <c r="AI18" s="37" t="s">
        <v>109</v>
      </c>
      <c r="AJ18" s="37">
        <v>3.7046126898204967E-2</v>
      </c>
      <c r="AK18" s="37" t="s">
        <v>109</v>
      </c>
      <c r="AL18" s="37">
        <v>2.9331149917284E-3</v>
      </c>
      <c r="AM18" s="37" t="s">
        <v>109</v>
      </c>
      <c r="AN18" s="37">
        <v>1.2353061608964662E-19</v>
      </c>
      <c r="AO18" s="37" t="s">
        <v>109</v>
      </c>
      <c r="AP18" s="37">
        <v>1.600477157130346E-2</v>
      </c>
      <c r="AQ18" s="37" t="s">
        <v>109</v>
      </c>
      <c r="AR18" s="37">
        <v>1.3780426990844854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8"/>
  <sheetViews>
    <sheetView workbookViewId="0">
      <selection sqref="A1:X31"/>
    </sheetView>
  </sheetViews>
  <sheetFormatPr defaultColWidth="14.7109375" defaultRowHeight="15"/>
  <cols>
    <col min="3" max="3" width="16.28515625" customWidth="1"/>
    <col min="6" max="6" width="15.42578125" customWidth="1"/>
    <col min="13" max="13" width="23.42578125" customWidth="1"/>
    <col min="14" max="14" width="34.5703125" customWidth="1"/>
    <col min="15" max="15" width="24.28515625" customWidth="1"/>
    <col min="16" max="16" width="28.42578125" customWidth="1"/>
    <col min="17" max="17" width="26.7109375" customWidth="1"/>
  </cols>
  <sheetData>
    <row r="1" spans="1:24">
      <c r="A1" s="16" t="s">
        <v>208</v>
      </c>
      <c r="B1" s="16" t="s">
        <v>84</v>
      </c>
      <c r="C1" s="16" t="s">
        <v>86</v>
      </c>
      <c r="D1" s="16" t="s">
        <v>87</v>
      </c>
      <c r="E1" s="16" t="s">
        <v>88</v>
      </c>
      <c r="F1" s="16" t="s">
        <v>89</v>
      </c>
      <c r="G1" s="16" t="s">
        <v>90</v>
      </c>
      <c r="H1" s="16" t="s">
        <v>91</v>
      </c>
      <c r="I1" s="16" t="s">
        <v>92</v>
      </c>
      <c r="J1" s="16" t="s">
        <v>93</v>
      </c>
      <c r="K1" s="16" t="s">
        <v>110</v>
      </c>
      <c r="L1" s="16" t="s">
        <v>111</v>
      </c>
      <c r="M1" s="16" t="s">
        <v>112</v>
      </c>
      <c r="N1" s="16" t="s">
        <v>113</v>
      </c>
      <c r="O1" s="16" t="s">
        <v>114</v>
      </c>
      <c r="P1" s="16" t="s">
        <v>115</v>
      </c>
      <c r="Q1" s="16" t="s">
        <v>116</v>
      </c>
      <c r="R1" s="16" t="s">
        <v>117</v>
      </c>
      <c r="S1" s="16" t="s">
        <v>118</v>
      </c>
      <c r="T1" s="16" t="s">
        <v>119</v>
      </c>
      <c r="U1" s="16" t="s">
        <v>120</v>
      </c>
      <c r="V1" s="16" t="s">
        <v>121</v>
      </c>
      <c r="W1" s="16" t="s">
        <v>122</v>
      </c>
      <c r="X1" t="s">
        <v>138</v>
      </c>
    </row>
    <row r="2" spans="1:24">
      <c r="A2" t="s">
        <v>62</v>
      </c>
      <c r="B2" t="s">
        <v>1</v>
      </c>
      <c r="C2">
        <v>2</v>
      </c>
      <c r="D2">
        <v>1</v>
      </c>
      <c r="E2">
        <v>3</v>
      </c>
      <c r="F2">
        <v>1</v>
      </c>
      <c r="G2">
        <v>3</v>
      </c>
      <c r="H2">
        <v>6</v>
      </c>
      <c r="I2">
        <v>10</v>
      </c>
      <c r="J2">
        <v>5</v>
      </c>
      <c r="K2">
        <v>7.2</v>
      </c>
      <c r="L2">
        <v>26.5</v>
      </c>
      <c r="M2">
        <v>32.4</v>
      </c>
      <c r="N2">
        <v>28.6</v>
      </c>
      <c r="O2">
        <v>68</v>
      </c>
      <c r="P2">
        <v>2.1</v>
      </c>
      <c r="Q2">
        <v>420</v>
      </c>
      <c r="R2">
        <v>5.0000000000000001E-4</v>
      </c>
      <c r="S2">
        <v>5.0000000000000001E-4</v>
      </c>
      <c r="T2">
        <v>0.17699999999999999</v>
      </c>
      <c r="U2">
        <v>3.5000000000000003E-2</v>
      </c>
      <c r="V2">
        <v>5.0000000000000001E-4</v>
      </c>
      <c r="W2">
        <v>4.4999999999999998E-2</v>
      </c>
      <c r="X2">
        <v>7</v>
      </c>
    </row>
    <row r="3" spans="1:24">
      <c r="A3" t="s">
        <v>63</v>
      </c>
      <c r="B3" t="s">
        <v>1</v>
      </c>
      <c r="C3">
        <v>2</v>
      </c>
      <c r="D3">
        <v>1</v>
      </c>
      <c r="E3">
        <v>4</v>
      </c>
      <c r="F3">
        <v>1</v>
      </c>
      <c r="G3">
        <v>5</v>
      </c>
      <c r="H3">
        <v>2</v>
      </c>
      <c r="I3">
        <v>10</v>
      </c>
      <c r="J3">
        <v>4</v>
      </c>
      <c r="K3">
        <v>7</v>
      </c>
      <c r="L3">
        <v>26.8</v>
      </c>
      <c r="M3">
        <v>38.9</v>
      </c>
      <c r="N3">
        <v>45.2</v>
      </c>
      <c r="O3">
        <v>65</v>
      </c>
      <c r="P3">
        <v>3</v>
      </c>
      <c r="Q3">
        <v>460</v>
      </c>
      <c r="R3">
        <v>5.0000000000000001E-3</v>
      </c>
      <c r="S3">
        <v>5.0000000000000001E-4</v>
      </c>
      <c r="T3">
        <v>0.24299999999999999</v>
      </c>
      <c r="U3">
        <v>1.9E-2</v>
      </c>
      <c r="V3">
        <v>5.0000000000000001E-4</v>
      </c>
      <c r="W3">
        <v>7.1999999999999995E-2</v>
      </c>
      <c r="X3">
        <v>8</v>
      </c>
    </row>
    <row r="4" spans="1:24">
      <c r="A4" t="s">
        <v>64</v>
      </c>
      <c r="B4" t="s">
        <v>1</v>
      </c>
      <c r="C4">
        <v>0</v>
      </c>
      <c r="D4">
        <v>2</v>
      </c>
      <c r="E4">
        <v>1</v>
      </c>
      <c r="F4">
        <v>1</v>
      </c>
      <c r="G4">
        <v>3</v>
      </c>
      <c r="H4">
        <v>2</v>
      </c>
      <c r="I4">
        <v>8</v>
      </c>
      <c r="J4">
        <v>4</v>
      </c>
      <c r="K4">
        <v>6.8</v>
      </c>
      <c r="L4">
        <v>27</v>
      </c>
      <c r="M4">
        <v>41.2</v>
      </c>
      <c r="N4">
        <v>52.4</v>
      </c>
      <c r="O4">
        <v>62</v>
      </c>
      <c r="P4">
        <v>3.8</v>
      </c>
      <c r="Q4">
        <v>500</v>
      </c>
      <c r="R4">
        <v>5.0000000000000001E-4</v>
      </c>
      <c r="S4">
        <v>5.0000000000000001E-4</v>
      </c>
      <c r="T4">
        <v>0.10100000000000001</v>
      </c>
      <c r="U4">
        <v>2.4E-2</v>
      </c>
      <c r="V4">
        <v>5.0000000000000001E-4</v>
      </c>
      <c r="W4">
        <v>9.8000000000000004E-2</v>
      </c>
      <c r="X4">
        <v>4</v>
      </c>
    </row>
    <row r="5" spans="1:24">
      <c r="A5" t="s">
        <v>65</v>
      </c>
      <c r="B5" t="s">
        <v>1</v>
      </c>
      <c r="C5">
        <v>1</v>
      </c>
      <c r="D5">
        <v>3</v>
      </c>
      <c r="E5">
        <v>2</v>
      </c>
      <c r="F5">
        <v>0</v>
      </c>
      <c r="G5">
        <v>5</v>
      </c>
      <c r="H5">
        <v>5</v>
      </c>
      <c r="I5">
        <v>10</v>
      </c>
      <c r="J5">
        <v>3</v>
      </c>
      <c r="K5">
        <v>6.7</v>
      </c>
      <c r="L5">
        <v>27.2</v>
      </c>
      <c r="M5">
        <v>45.6</v>
      </c>
      <c r="N5">
        <v>60.8</v>
      </c>
      <c r="O5">
        <v>58</v>
      </c>
      <c r="P5">
        <v>4.2</v>
      </c>
      <c r="Q5">
        <v>540</v>
      </c>
      <c r="R5">
        <v>5.0000000000000001E-4</v>
      </c>
      <c r="S5">
        <v>5.0000000000000001E-4</v>
      </c>
      <c r="T5">
        <v>0.16700000000000001</v>
      </c>
      <c r="U5">
        <v>7.0000000000000001E-3</v>
      </c>
      <c r="V5">
        <v>5.0000000000000001E-4</v>
      </c>
      <c r="W5">
        <v>7.3999999999999996E-2</v>
      </c>
      <c r="X5">
        <v>7</v>
      </c>
    </row>
    <row r="6" spans="1:24">
      <c r="A6" t="s">
        <v>66</v>
      </c>
      <c r="B6" t="s">
        <v>1</v>
      </c>
      <c r="C6">
        <v>3</v>
      </c>
      <c r="D6">
        <v>4</v>
      </c>
      <c r="E6">
        <v>4</v>
      </c>
      <c r="F6">
        <v>0</v>
      </c>
      <c r="G6">
        <v>3</v>
      </c>
      <c r="H6">
        <v>3</v>
      </c>
      <c r="I6">
        <v>7</v>
      </c>
      <c r="J6">
        <v>3</v>
      </c>
      <c r="K6">
        <v>6.6</v>
      </c>
      <c r="L6">
        <v>27.5</v>
      </c>
      <c r="M6">
        <v>49.8</v>
      </c>
      <c r="N6">
        <v>72.599999999999994</v>
      </c>
      <c r="O6">
        <v>34</v>
      </c>
      <c r="P6">
        <v>5</v>
      </c>
      <c r="Q6">
        <v>580</v>
      </c>
      <c r="R6">
        <v>5.0000000000000001E-4</v>
      </c>
      <c r="S6">
        <v>5.0000000000000001E-4</v>
      </c>
      <c r="T6">
        <v>0.114</v>
      </c>
      <c r="U6">
        <v>2.1000000000000001E-2</v>
      </c>
      <c r="V6">
        <v>5.0000000000000001E-4</v>
      </c>
      <c r="W6">
        <v>8.8999999999999996E-2</v>
      </c>
      <c r="X6">
        <v>11</v>
      </c>
    </row>
    <row r="7" spans="1:24">
      <c r="A7" t="s">
        <v>67</v>
      </c>
      <c r="B7" t="s">
        <v>1</v>
      </c>
      <c r="C7">
        <v>2</v>
      </c>
      <c r="D7">
        <v>0</v>
      </c>
      <c r="E7">
        <v>2</v>
      </c>
      <c r="F7">
        <v>1</v>
      </c>
      <c r="G7">
        <v>5</v>
      </c>
      <c r="H7">
        <v>3</v>
      </c>
      <c r="I7">
        <v>9</v>
      </c>
      <c r="J7">
        <v>3</v>
      </c>
      <c r="K7">
        <v>6.5</v>
      </c>
      <c r="L7">
        <v>27.8</v>
      </c>
      <c r="M7">
        <v>52.4</v>
      </c>
      <c r="N7">
        <v>88.4</v>
      </c>
      <c r="O7">
        <v>48</v>
      </c>
      <c r="P7">
        <v>6.3</v>
      </c>
      <c r="Q7">
        <v>640</v>
      </c>
      <c r="R7">
        <v>5.0000000000000001E-4</v>
      </c>
      <c r="S7">
        <v>5.0000000000000001E-4</v>
      </c>
      <c r="T7">
        <v>0.155</v>
      </c>
      <c r="U7">
        <v>1.7999999999999999E-2</v>
      </c>
      <c r="V7">
        <v>5.0000000000000001E-4</v>
      </c>
      <c r="W7">
        <v>5.2999999999999999E-2</v>
      </c>
      <c r="X7">
        <v>5</v>
      </c>
    </row>
    <row r="8" spans="1:24">
      <c r="A8" t="s">
        <v>68</v>
      </c>
      <c r="B8" t="s">
        <v>1</v>
      </c>
      <c r="C8">
        <v>1</v>
      </c>
      <c r="D8">
        <v>0</v>
      </c>
      <c r="E8">
        <v>1</v>
      </c>
      <c r="F8">
        <v>0</v>
      </c>
      <c r="G8">
        <v>4</v>
      </c>
      <c r="H8">
        <v>3</v>
      </c>
      <c r="I8">
        <v>7</v>
      </c>
      <c r="J8">
        <v>2</v>
      </c>
      <c r="K8">
        <v>6.4</v>
      </c>
      <c r="L8">
        <v>28</v>
      </c>
      <c r="M8">
        <v>56.7</v>
      </c>
      <c r="N8">
        <v>96.3</v>
      </c>
      <c r="O8">
        <v>42</v>
      </c>
      <c r="P8">
        <v>7.1</v>
      </c>
      <c r="Q8">
        <v>700</v>
      </c>
      <c r="R8">
        <v>5.0000000000000001E-4</v>
      </c>
      <c r="S8">
        <v>5.0000000000000001E-4</v>
      </c>
      <c r="T8">
        <v>0.17399999999999999</v>
      </c>
      <c r="U8">
        <v>1.2E-2</v>
      </c>
      <c r="V8">
        <v>5.0000000000000001E-4</v>
      </c>
      <c r="W8">
        <v>0.112</v>
      </c>
      <c r="X8">
        <v>2</v>
      </c>
    </row>
    <row r="9" spans="1:24">
      <c r="A9" t="s">
        <v>69</v>
      </c>
      <c r="B9" t="s">
        <v>1</v>
      </c>
      <c r="C9">
        <v>1</v>
      </c>
      <c r="D9">
        <v>0</v>
      </c>
      <c r="E9">
        <v>0</v>
      </c>
      <c r="F9">
        <v>0</v>
      </c>
      <c r="G9">
        <v>5</v>
      </c>
      <c r="H9">
        <v>5</v>
      </c>
      <c r="I9">
        <v>6</v>
      </c>
      <c r="J9">
        <v>2</v>
      </c>
      <c r="K9">
        <v>6.2</v>
      </c>
      <c r="L9">
        <v>29</v>
      </c>
      <c r="M9">
        <v>60.3</v>
      </c>
      <c r="N9">
        <v>108.5</v>
      </c>
      <c r="O9">
        <v>38</v>
      </c>
      <c r="P9">
        <v>8</v>
      </c>
      <c r="Q9">
        <v>760</v>
      </c>
      <c r="R9">
        <v>5.0000000000000001E-4</v>
      </c>
      <c r="S9">
        <v>5.0000000000000001E-4</v>
      </c>
      <c r="T9">
        <v>0.26100000000000001</v>
      </c>
      <c r="U9">
        <v>1.0999999999999999E-2</v>
      </c>
      <c r="V9">
        <v>5.0000000000000001E-4</v>
      </c>
      <c r="W9">
        <v>6.7000000000000004E-2</v>
      </c>
      <c r="X9">
        <v>1</v>
      </c>
    </row>
    <row r="10" spans="1:24">
      <c r="A10" t="s">
        <v>70</v>
      </c>
      <c r="B10" t="s">
        <v>1</v>
      </c>
      <c r="C10">
        <v>4</v>
      </c>
      <c r="D10">
        <v>0</v>
      </c>
      <c r="E10">
        <v>1</v>
      </c>
      <c r="F10">
        <v>2</v>
      </c>
      <c r="G10">
        <v>1</v>
      </c>
      <c r="H10">
        <v>1</v>
      </c>
      <c r="I10">
        <v>13</v>
      </c>
      <c r="J10">
        <v>5</v>
      </c>
      <c r="K10">
        <v>6.1</v>
      </c>
      <c r="L10">
        <v>28.8</v>
      </c>
      <c r="M10">
        <v>62.5</v>
      </c>
      <c r="N10">
        <v>116.2</v>
      </c>
      <c r="O10">
        <v>35</v>
      </c>
      <c r="P10">
        <v>8.5</v>
      </c>
      <c r="Q10">
        <v>800</v>
      </c>
      <c r="R10">
        <v>1.4E-2</v>
      </c>
      <c r="S10">
        <v>5.0000000000000001E-4</v>
      </c>
      <c r="T10">
        <v>0.315</v>
      </c>
      <c r="U10">
        <v>5.0000000000000001E-3</v>
      </c>
      <c r="V10">
        <v>5.0000000000000001E-4</v>
      </c>
      <c r="W10">
        <v>0.24299999999999999</v>
      </c>
      <c r="X10">
        <v>7</v>
      </c>
    </row>
    <row r="11" spans="1:24">
      <c r="A11" t="s">
        <v>71</v>
      </c>
      <c r="B11" t="s">
        <v>1</v>
      </c>
      <c r="C11">
        <v>6</v>
      </c>
      <c r="D11">
        <v>1</v>
      </c>
      <c r="E11">
        <v>4</v>
      </c>
      <c r="F11">
        <v>1</v>
      </c>
      <c r="G11">
        <v>3</v>
      </c>
      <c r="H11">
        <v>2</v>
      </c>
      <c r="I11">
        <v>10</v>
      </c>
      <c r="J11">
        <v>5</v>
      </c>
      <c r="K11">
        <v>6.1</v>
      </c>
      <c r="L11">
        <v>29</v>
      </c>
      <c r="M11">
        <v>65.3</v>
      </c>
      <c r="N11">
        <v>124.6</v>
      </c>
      <c r="O11">
        <v>32</v>
      </c>
      <c r="P11">
        <v>9</v>
      </c>
      <c r="Q11">
        <v>820</v>
      </c>
      <c r="R11">
        <v>8.0000000000000002E-3</v>
      </c>
      <c r="S11">
        <v>5.0000000000000001E-4</v>
      </c>
      <c r="T11">
        <v>0.22800000000000001</v>
      </c>
      <c r="U11">
        <v>1.6E-2</v>
      </c>
      <c r="V11">
        <v>5.0000000000000001E-4</v>
      </c>
      <c r="W11">
        <v>8.5999999999999993E-2</v>
      </c>
      <c r="X11">
        <v>12</v>
      </c>
    </row>
    <row r="12" spans="1:24">
      <c r="A12" t="s">
        <v>62</v>
      </c>
      <c r="B12" t="s">
        <v>76</v>
      </c>
      <c r="C12">
        <v>3</v>
      </c>
      <c r="D12">
        <v>4</v>
      </c>
      <c r="E12">
        <v>3</v>
      </c>
      <c r="F12">
        <v>2</v>
      </c>
      <c r="G12">
        <v>5</v>
      </c>
      <c r="H12">
        <v>5</v>
      </c>
      <c r="I12">
        <v>13</v>
      </c>
      <c r="J12">
        <v>5</v>
      </c>
      <c r="K12">
        <v>7.4</v>
      </c>
      <c r="L12">
        <v>25.8</v>
      </c>
      <c r="M12">
        <v>8.1999999999999993</v>
      </c>
      <c r="N12">
        <v>6.5</v>
      </c>
      <c r="O12">
        <v>55</v>
      </c>
      <c r="P12">
        <v>2.5</v>
      </c>
      <c r="Q12">
        <v>350</v>
      </c>
      <c r="R12">
        <v>5.0000000000000001E-4</v>
      </c>
      <c r="S12">
        <v>5.0000000000000001E-4</v>
      </c>
      <c r="T12">
        <v>0.53700000000000003</v>
      </c>
      <c r="U12">
        <v>6.0000000000000001E-3</v>
      </c>
      <c r="V12">
        <v>5.0000000000000001E-4</v>
      </c>
      <c r="W12">
        <v>2.1000000000000001E-2</v>
      </c>
      <c r="X12">
        <v>12</v>
      </c>
    </row>
    <row r="13" spans="1:24">
      <c r="A13" t="s">
        <v>63</v>
      </c>
      <c r="B13" t="s">
        <v>76</v>
      </c>
      <c r="C13">
        <v>5</v>
      </c>
      <c r="D13">
        <v>3</v>
      </c>
      <c r="E13">
        <v>1</v>
      </c>
      <c r="F13">
        <v>1</v>
      </c>
      <c r="G13">
        <v>3</v>
      </c>
      <c r="H13">
        <v>3</v>
      </c>
      <c r="I13">
        <v>13</v>
      </c>
      <c r="J13">
        <v>3</v>
      </c>
      <c r="K13">
        <v>7.2</v>
      </c>
      <c r="L13">
        <v>26</v>
      </c>
      <c r="M13">
        <v>7.9</v>
      </c>
      <c r="N13">
        <v>8.1999999999999993</v>
      </c>
      <c r="O13">
        <v>52</v>
      </c>
      <c r="P13">
        <v>3.1</v>
      </c>
      <c r="Q13">
        <v>390</v>
      </c>
      <c r="R13">
        <v>5.0000000000000001E-4</v>
      </c>
      <c r="S13">
        <v>5.0000000000000001E-4</v>
      </c>
      <c r="T13">
        <v>6.5000000000000002E-2</v>
      </c>
      <c r="U13">
        <v>5.0000000000000001E-4</v>
      </c>
      <c r="V13">
        <v>5.0000000000000001E-4</v>
      </c>
      <c r="W13">
        <v>3.6999999999999998E-2</v>
      </c>
      <c r="X13">
        <v>10</v>
      </c>
    </row>
    <row r="14" spans="1:24">
      <c r="A14" t="s">
        <v>64</v>
      </c>
      <c r="B14" t="s">
        <v>76</v>
      </c>
      <c r="C14">
        <v>1</v>
      </c>
      <c r="D14">
        <v>2</v>
      </c>
      <c r="E14">
        <v>2</v>
      </c>
      <c r="F14">
        <v>2</v>
      </c>
      <c r="G14">
        <v>4</v>
      </c>
      <c r="H14">
        <v>4</v>
      </c>
      <c r="I14">
        <v>13</v>
      </c>
      <c r="J14">
        <v>1</v>
      </c>
      <c r="K14">
        <v>7</v>
      </c>
      <c r="L14">
        <v>26.3</v>
      </c>
      <c r="M14">
        <v>7.5</v>
      </c>
      <c r="N14">
        <v>10.4</v>
      </c>
      <c r="O14">
        <v>49</v>
      </c>
      <c r="P14">
        <v>3.8</v>
      </c>
      <c r="Q14">
        <v>430</v>
      </c>
      <c r="R14">
        <v>5.0000000000000001E-4</v>
      </c>
      <c r="S14">
        <v>5.0000000000000001E-4</v>
      </c>
      <c r="T14">
        <v>0.106</v>
      </c>
      <c r="U14">
        <v>2E-3</v>
      </c>
      <c r="V14">
        <v>5.0000000000000001E-4</v>
      </c>
      <c r="W14">
        <v>5.8999999999999997E-2</v>
      </c>
      <c r="X14">
        <v>7</v>
      </c>
    </row>
    <row r="15" spans="1:24">
      <c r="A15" t="s">
        <v>65</v>
      </c>
      <c r="B15" t="s">
        <v>76</v>
      </c>
      <c r="C15">
        <v>5</v>
      </c>
      <c r="D15">
        <v>1</v>
      </c>
      <c r="E15">
        <v>2</v>
      </c>
      <c r="F15">
        <v>1</v>
      </c>
      <c r="G15">
        <v>6</v>
      </c>
      <c r="H15">
        <v>4</v>
      </c>
      <c r="I15">
        <v>6</v>
      </c>
      <c r="J15">
        <v>7</v>
      </c>
      <c r="K15">
        <v>6.9</v>
      </c>
      <c r="L15">
        <v>26.5</v>
      </c>
      <c r="M15">
        <v>7.1</v>
      </c>
      <c r="N15">
        <v>12.8</v>
      </c>
      <c r="O15">
        <v>46</v>
      </c>
      <c r="P15">
        <v>4.4000000000000004</v>
      </c>
      <c r="Q15">
        <v>470</v>
      </c>
      <c r="R15">
        <v>5.0000000000000001E-4</v>
      </c>
      <c r="S15">
        <v>5.0000000000000001E-4</v>
      </c>
      <c r="T15">
        <v>4.5999999999999999E-2</v>
      </c>
      <c r="U15">
        <v>1.0999999999999999E-2</v>
      </c>
      <c r="V15">
        <v>5.0000000000000001E-4</v>
      </c>
      <c r="W15">
        <v>1.9E-2</v>
      </c>
      <c r="X15">
        <v>9</v>
      </c>
    </row>
    <row r="16" spans="1:24">
      <c r="A16" t="s">
        <v>66</v>
      </c>
      <c r="B16" t="s">
        <v>76</v>
      </c>
      <c r="C16">
        <v>3</v>
      </c>
      <c r="D16">
        <v>3</v>
      </c>
      <c r="E16">
        <v>1</v>
      </c>
      <c r="F16">
        <v>2</v>
      </c>
      <c r="G16">
        <v>4</v>
      </c>
      <c r="H16">
        <v>3</v>
      </c>
      <c r="I16">
        <v>7</v>
      </c>
      <c r="J16">
        <v>3</v>
      </c>
      <c r="K16">
        <v>6.8</v>
      </c>
      <c r="L16">
        <v>26.8</v>
      </c>
      <c r="M16">
        <v>6.8</v>
      </c>
      <c r="N16">
        <v>15.3</v>
      </c>
      <c r="O16">
        <v>43</v>
      </c>
      <c r="P16">
        <v>5.2</v>
      </c>
      <c r="Q16">
        <v>510</v>
      </c>
      <c r="R16">
        <v>5.0000000000000001E-4</v>
      </c>
      <c r="S16">
        <v>5.0000000000000001E-4</v>
      </c>
      <c r="T16">
        <v>3.1E-2</v>
      </c>
      <c r="U16">
        <v>4.0000000000000001E-3</v>
      </c>
      <c r="V16">
        <v>5.0000000000000001E-4</v>
      </c>
      <c r="W16">
        <v>2.1999999999999999E-2</v>
      </c>
      <c r="X16">
        <v>10</v>
      </c>
    </row>
    <row r="17" spans="1:24">
      <c r="A17" t="s">
        <v>67</v>
      </c>
      <c r="B17" t="s">
        <v>76</v>
      </c>
      <c r="C17">
        <v>4</v>
      </c>
      <c r="D17">
        <v>3</v>
      </c>
      <c r="E17">
        <v>5</v>
      </c>
      <c r="F17">
        <v>0</v>
      </c>
      <c r="G17">
        <v>4</v>
      </c>
      <c r="H17">
        <v>4</v>
      </c>
      <c r="I17">
        <v>10</v>
      </c>
      <c r="J17">
        <v>5</v>
      </c>
      <c r="K17">
        <v>6.7</v>
      </c>
      <c r="L17">
        <v>27</v>
      </c>
      <c r="M17">
        <v>6.4</v>
      </c>
      <c r="N17">
        <v>18.600000000000001</v>
      </c>
      <c r="O17">
        <v>40</v>
      </c>
      <c r="P17">
        <v>6</v>
      </c>
      <c r="Q17">
        <v>560</v>
      </c>
      <c r="R17">
        <v>5.0000000000000001E-4</v>
      </c>
      <c r="S17">
        <v>5.0000000000000001E-4</v>
      </c>
      <c r="T17">
        <v>0.151</v>
      </c>
      <c r="U17">
        <v>5.0000000000000001E-4</v>
      </c>
      <c r="V17">
        <v>5.0000000000000001E-4</v>
      </c>
      <c r="W17">
        <v>2.9000000000000001E-2</v>
      </c>
      <c r="X17">
        <v>12</v>
      </c>
    </row>
    <row r="18" spans="1:24">
      <c r="A18" t="s">
        <v>68</v>
      </c>
      <c r="B18" t="s">
        <v>76</v>
      </c>
      <c r="C18">
        <v>3</v>
      </c>
      <c r="D18">
        <v>1</v>
      </c>
      <c r="E18">
        <v>3</v>
      </c>
      <c r="F18">
        <v>0</v>
      </c>
      <c r="G18">
        <v>5</v>
      </c>
      <c r="H18">
        <v>5</v>
      </c>
      <c r="I18">
        <v>10</v>
      </c>
      <c r="J18">
        <v>5</v>
      </c>
      <c r="K18">
        <v>6.5</v>
      </c>
      <c r="L18">
        <v>27.3</v>
      </c>
      <c r="M18">
        <v>6</v>
      </c>
      <c r="N18">
        <v>22.5</v>
      </c>
      <c r="O18">
        <v>37</v>
      </c>
      <c r="P18">
        <v>6.8</v>
      </c>
      <c r="Q18">
        <v>610</v>
      </c>
      <c r="R18">
        <v>5.0000000000000001E-4</v>
      </c>
      <c r="S18">
        <v>5.0000000000000001E-4</v>
      </c>
      <c r="T18">
        <v>0.13200000000000001</v>
      </c>
      <c r="U18">
        <v>1E-3</v>
      </c>
      <c r="V18">
        <v>5.0000000000000001E-4</v>
      </c>
      <c r="W18">
        <v>3.2000000000000001E-2</v>
      </c>
      <c r="X18">
        <v>7</v>
      </c>
    </row>
    <row r="19" spans="1:24">
      <c r="A19" t="s">
        <v>69</v>
      </c>
      <c r="B19" t="s">
        <v>76</v>
      </c>
      <c r="C19">
        <v>4</v>
      </c>
      <c r="D19">
        <v>3</v>
      </c>
      <c r="E19">
        <v>1</v>
      </c>
      <c r="F19">
        <v>5</v>
      </c>
      <c r="G19">
        <v>4</v>
      </c>
      <c r="H19">
        <v>3</v>
      </c>
      <c r="I19">
        <v>6</v>
      </c>
      <c r="J19">
        <v>4</v>
      </c>
      <c r="K19">
        <v>6.4</v>
      </c>
      <c r="L19">
        <v>27.6</v>
      </c>
      <c r="M19">
        <v>5.7</v>
      </c>
      <c r="N19">
        <v>26.8</v>
      </c>
      <c r="O19">
        <v>35</v>
      </c>
      <c r="P19">
        <v>7.5</v>
      </c>
      <c r="Q19">
        <v>670</v>
      </c>
      <c r="R19">
        <v>5.0000000000000001E-4</v>
      </c>
      <c r="S19">
        <v>5.0000000000000001E-4</v>
      </c>
      <c r="T19">
        <v>5.2999999999999999E-2</v>
      </c>
      <c r="U19">
        <v>5.0000000000000001E-4</v>
      </c>
      <c r="V19">
        <v>5.0000000000000001E-4</v>
      </c>
      <c r="W19">
        <v>4.7E-2</v>
      </c>
      <c r="X19">
        <v>13</v>
      </c>
    </row>
    <row r="20" spans="1:24">
      <c r="A20" t="s">
        <v>70</v>
      </c>
      <c r="B20" t="s">
        <v>76</v>
      </c>
      <c r="C20">
        <v>2</v>
      </c>
      <c r="D20">
        <v>3</v>
      </c>
      <c r="E20">
        <v>2</v>
      </c>
      <c r="F20">
        <v>3</v>
      </c>
      <c r="G20">
        <v>5</v>
      </c>
      <c r="H20">
        <v>4</v>
      </c>
      <c r="I20">
        <v>5</v>
      </c>
      <c r="J20">
        <v>5</v>
      </c>
      <c r="K20">
        <v>6.3</v>
      </c>
      <c r="L20">
        <v>27.8</v>
      </c>
      <c r="M20">
        <v>5.3</v>
      </c>
      <c r="N20">
        <v>30.4</v>
      </c>
      <c r="O20">
        <v>33</v>
      </c>
      <c r="P20">
        <v>8.1</v>
      </c>
      <c r="Q20">
        <v>720</v>
      </c>
      <c r="R20">
        <v>1.4E-2</v>
      </c>
      <c r="S20">
        <v>5.0000000000000001E-4</v>
      </c>
      <c r="T20">
        <v>0.13400000000000001</v>
      </c>
      <c r="U20">
        <v>7.0000000000000001E-3</v>
      </c>
      <c r="V20">
        <v>5.0000000000000001E-4</v>
      </c>
      <c r="W20">
        <v>3.9E-2</v>
      </c>
      <c r="X20">
        <v>10</v>
      </c>
    </row>
    <row r="21" spans="1:24">
      <c r="A21" t="s">
        <v>71</v>
      </c>
      <c r="B21" t="s">
        <v>76</v>
      </c>
      <c r="C21">
        <v>6</v>
      </c>
      <c r="D21">
        <v>2</v>
      </c>
      <c r="E21">
        <v>0</v>
      </c>
      <c r="F21">
        <v>2</v>
      </c>
      <c r="G21">
        <v>1</v>
      </c>
      <c r="H21">
        <v>6</v>
      </c>
      <c r="I21">
        <v>9</v>
      </c>
      <c r="J21">
        <v>5</v>
      </c>
      <c r="K21">
        <v>6.2</v>
      </c>
      <c r="L21">
        <v>28</v>
      </c>
      <c r="M21">
        <v>5</v>
      </c>
      <c r="N21">
        <v>34.1</v>
      </c>
      <c r="O21">
        <v>30</v>
      </c>
      <c r="P21">
        <v>8.9</v>
      </c>
      <c r="Q21">
        <v>780</v>
      </c>
      <c r="R21">
        <v>6.0000000000000001E-3</v>
      </c>
      <c r="S21">
        <v>5.0000000000000001E-4</v>
      </c>
      <c r="T21">
        <v>0.11899999999999999</v>
      </c>
      <c r="U21">
        <v>5.0000000000000001E-3</v>
      </c>
      <c r="V21">
        <v>5.0000000000000001E-4</v>
      </c>
      <c r="W21">
        <v>4.1000000000000002E-2</v>
      </c>
      <c r="X21">
        <v>10</v>
      </c>
    </row>
    <row r="22" spans="1:24">
      <c r="A22" t="s">
        <v>62</v>
      </c>
      <c r="B22" t="s">
        <v>77</v>
      </c>
      <c r="C22">
        <v>1</v>
      </c>
      <c r="D22">
        <v>2</v>
      </c>
      <c r="E22">
        <v>4</v>
      </c>
      <c r="F22">
        <v>1</v>
      </c>
      <c r="G22">
        <v>4</v>
      </c>
      <c r="H22">
        <v>2</v>
      </c>
      <c r="I22">
        <v>6</v>
      </c>
      <c r="J22">
        <v>3</v>
      </c>
      <c r="K22">
        <v>7.1</v>
      </c>
      <c r="L22">
        <v>26.2</v>
      </c>
      <c r="M22">
        <v>7.8</v>
      </c>
      <c r="N22">
        <v>9.4</v>
      </c>
      <c r="O22">
        <v>72</v>
      </c>
      <c r="P22">
        <v>3.2</v>
      </c>
      <c r="Q22">
        <v>410</v>
      </c>
      <c r="R22">
        <v>5.0000000000000001E-4</v>
      </c>
      <c r="S22">
        <v>5.0000000000000001E-4</v>
      </c>
      <c r="T22">
        <v>0.223</v>
      </c>
      <c r="U22">
        <v>8.9999999999999993E-3</v>
      </c>
      <c r="V22">
        <v>5.0000000000000001E-4</v>
      </c>
      <c r="W22">
        <v>5.8000000000000003E-2</v>
      </c>
      <c r="X22">
        <v>8</v>
      </c>
    </row>
    <row r="23" spans="1:24">
      <c r="A23" t="s">
        <v>63</v>
      </c>
      <c r="B23" t="s">
        <v>77</v>
      </c>
      <c r="C23">
        <v>6</v>
      </c>
      <c r="D23">
        <v>0</v>
      </c>
      <c r="E23">
        <v>7</v>
      </c>
      <c r="F23">
        <v>2</v>
      </c>
      <c r="G23">
        <v>2</v>
      </c>
      <c r="H23">
        <v>4</v>
      </c>
      <c r="I23">
        <v>9</v>
      </c>
      <c r="J23">
        <v>2</v>
      </c>
      <c r="K23">
        <v>7</v>
      </c>
      <c r="L23">
        <v>26.5</v>
      </c>
      <c r="M23">
        <v>7.4</v>
      </c>
      <c r="N23">
        <v>12.6</v>
      </c>
      <c r="O23">
        <v>69</v>
      </c>
      <c r="P23">
        <v>4</v>
      </c>
      <c r="Q23">
        <v>450</v>
      </c>
      <c r="R23">
        <v>3.0000000000000001E-3</v>
      </c>
      <c r="S23">
        <v>5.0000000000000001E-4</v>
      </c>
      <c r="T23">
        <v>0.17799999999999999</v>
      </c>
      <c r="U23">
        <v>1.4E-2</v>
      </c>
      <c r="V23">
        <v>5.0000000000000001E-4</v>
      </c>
      <c r="W23">
        <v>8.1000000000000003E-2</v>
      </c>
      <c r="X23">
        <v>15</v>
      </c>
    </row>
    <row r="24" spans="1:24">
      <c r="A24" t="s">
        <v>64</v>
      </c>
      <c r="B24" t="s">
        <v>77</v>
      </c>
      <c r="C24">
        <v>0</v>
      </c>
      <c r="D24">
        <v>2</v>
      </c>
      <c r="E24">
        <v>2</v>
      </c>
      <c r="F24">
        <v>2</v>
      </c>
      <c r="G24">
        <v>3</v>
      </c>
      <c r="H24">
        <v>3</v>
      </c>
      <c r="I24">
        <v>5</v>
      </c>
      <c r="J24">
        <v>5</v>
      </c>
      <c r="K24">
        <v>6.9</v>
      </c>
      <c r="L24">
        <v>26.8</v>
      </c>
      <c r="M24">
        <v>7</v>
      </c>
      <c r="N24">
        <v>15.8</v>
      </c>
      <c r="O24">
        <v>65</v>
      </c>
      <c r="P24">
        <v>4.9000000000000004</v>
      </c>
      <c r="Q24">
        <v>500</v>
      </c>
      <c r="R24">
        <v>5.0000000000000001E-4</v>
      </c>
      <c r="S24">
        <v>5.0000000000000001E-4</v>
      </c>
      <c r="T24">
        <v>9.1999999999999998E-2</v>
      </c>
      <c r="U24">
        <v>6.0000000000000001E-3</v>
      </c>
      <c r="V24">
        <v>5.0000000000000001E-4</v>
      </c>
      <c r="W24">
        <v>6.3E-2</v>
      </c>
      <c r="X24">
        <v>7</v>
      </c>
    </row>
    <row r="25" spans="1:24">
      <c r="A25" t="s">
        <v>65</v>
      </c>
      <c r="B25" t="s">
        <v>77</v>
      </c>
      <c r="C25">
        <v>4</v>
      </c>
      <c r="D25">
        <v>4</v>
      </c>
      <c r="E25">
        <v>3</v>
      </c>
      <c r="F25">
        <v>2</v>
      </c>
      <c r="G25">
        <v>6</v>
      </c>
      <c r="H25">
        <v>2</v>
      </c>
      <c r="I25">
        <v>10</v>
      </c>
      <c r="J25">
        <v>4</v>
      </c>
      <c r="K25">
        <v>6.8</v>
      </c>
      <c r="L25">
        <v>27</v>
      </c>
      <c r="M25">
        <v>6.7</v>
      </c>
      <c r="N25">
        <v>19.3</v>
      </c>
      <c r="O25">
        <v>61</v>
      </c>
      <c r="P25">
        <v>5.8</v>
      </c>
      <c r="Q25">
        <v>550</v>
      </c>
      <c r="R25">
        <v>5.0000000000000001E-4</v>
      </c>
      <c r="S25">
        <v>5.0000000000000001E-4</v>
      </c>
      <c r="T25">
        <v>0.13500000000000001</v>
      </c>
      <c r="U25">
        <v>1.0999999999999999E-2</v>
      </c>
      <c r="V25">
        <v>5.0000000000000001E-4</v>
      </c>
      <c r="W25">
        <v>7.0999999999999994E-2</v>
      </c>
      <c r="X25">
        <v>13</v>
      </c>
    </row>
    <row r="26" spans="1:24">
      <c r="A26" t="s">
        <v>66</v>
      </c>
      <c r="B26" t="s">
        <v>77</v>
      </c>
      <c r="C26">
        <v>4</v>
      </c>
      <c r="D26">
        <v>2</v>
      </c>
      <c r="E26">
        <v>3</v>
      </c>
      <c r="F26">
        <v>0</v>
      </c>
      <c r="G26">
        <v>6</v>
      </c>
      <c r="H26">
        <v>2</v>
      </c>
      <c r="I26">
        <v>8</v>
      </c>
      <c r="J26">
        <v>6</v>
      </c>
      <c r="K26">
        <v>6.6</v>
      </c>
      <c r="L26">
        <v>27.4</v>
      </c>
      <c r="M26">
        <v>6.3</v>
      </c>
      <c r="N26">
        <v>24</v>
      </c>
      <c r="O26">
        <v>57</v>
      </c>
      <c r="P26">
        <v>6.7</v>
      </c>
      <c r="Q26">
        <v>610</v>
      </c>
      <c r="R26">
        <v>5.0000000000000001E-4</v>
      </c>
      <c r="S26">
        <v>5.0000000000000001E-4</v>
      </c>
      <c r="T26">
        <v>0.11799999999999999</v>
      </c>
      <c r="U26">
        <v>8.0000000000000002E-3</v>
      </c>
      <c r="V26">
        <v>5.0000000000000001E-4</v>
      </c>
      <c r="W26">
        <v>4.9000000000000002E-2</v>
      </c>
      <c r="X26">
        <v>10</v>
      </c>
    </row>
    <row r="27" spans="1:24">
      <c r="A27" t="s">
        <v>67</v>
      </c>
      <c r="B27" t="s">
        <v>77</v>
      </c>
      <c r="C27">
        <v>2</v>
      </c>
      <c r="D27">
        <v>5</v>
      </c>
      <c r="E27">
        <v>1</v>
      </c>
      <c r="F27">
        <v>3</v>
      </c>
      <c r="G27">
        <v>2</v>
      </c>
      <c r="H27">
        <v>5</v>
      </c>
      <c r="I27">
        <v>8</v>
      </c>
      <c r="J27">
        <v>2</v>
      </c>
      <c r="K27">
        <v>6.5</v>
      </c>
      <c r="L27">
        <v>27.7</v>
      </c>
      <c r="M27">
        <v>5.9</v>
      </c>
      <c r="N27">
        <v>29.5</v>
      </c>
      <c r="O27">
        <v>53</v>
      </c>
      <c r="P27">
        <v>7.6</v>
      </c>
      <c r="Q27">
        <v>670</v>
      </c>
      <c r="R27">
        <v>5.0000000000000001E-4</v>
      </c>
      <c r="S27">
        <v>5.0000000000000001E-4</v>
      </c>
      <c r="T27">
        <v>0.16400000000000001</v>
      </c>
      <c r="U27">
        <v>1.2E-2</v>
      </c>
      <c r="V27">
        <v>5.0000000000000001E-4</v>
      </c>
      <c r="W27">
        <v>5.3999999999999999E-2</v>
      </c>
      <c r="X27">
        <v>11</v>
      </c>
    </row>
    <row r="28" spans="1:24">
      <c r="A28" t="s">
        <v>68</v>
      </c>
      <c r="B28" t="s">
        <v>77</v>
      </c>
      <c r="C28">
        <v>6</v>
      </c>
      <c r="D28">
        <v>6</v>
      </c>
      <c r="E28">
        <v>4</v>
      </c>
      <c r="F28">
        <v>2</v>
      </c>
      <c r="G28">
        <v>5</v>
      </c>
      <c r="H28">
        <v>3</v>
      </c>
      <c r="I28">
        <v>11</v>
      </c>
      <c r="J28">
        <v>2</v>
      </c>
      <c r="K28">
        <v>6.4</v>
      </c>
      <c r="L28">
        <v>28</v>
      </c>
      <c r="M28">
        <v>5.5</v>
      </c>
      <c r="N28">
        <v>35.799999999999997</v>
      </c>
      <c r="O28">
        <v>49</v>
      </c>
      <c r="P28">
        <v>8.5</v>
      </c>
      <c r="Q28">
        <v>730</v>
      </c>
      <c r="R28">
        <v>7.0000000000000001E-3</v>
      </c>
      <c r="S28">
        <v>5.0000000000000001E-4</v>
      </c>
      <c r="T28">
        <v>0.20699999999999999</v>
      </c>
      <c r="U28">
        <v>1.4999999999999999E-2</v>
      </c>
      <c r="V28">
        <v>5.0000000000000001E-4</v>
      </c>
      <c r="W28">
        <v>9.6000000000000002E-2</v>
      </c>
      <c r="X28">
        <v>18</v>
      </c>
    </row>
    <row r="29" spans="1:24">
      <c r="A29" t="s">
        <v>69</v>
      </c>
      <c r="B29" t="s">
        <v>77</v>
      </c>
      <c r="C29">
        <v>5</v>
      </c>
      <c r="D29">
        <v>1</v>
      </c>
      <c r="E29">
        <v>2</v>
      </c>
      <c r="F29">
        <v>2</v>
      </c>
      <c r="G29">
        <v>4</v>
      </c>
      <c r="H29">
        <v>3</v>
      </c>
      <c r="I29">
        <v>11</v>
      </c>
      <c r="J29">
        <v>2</v>
      </c>
      <c r="K29">
        <v>6.3</v>
      </c>
      <c r="L29">
        <v>28.3</v>
      </c>
      <c r="M29">
        <v>5.0999999999999996</v>
      </c>
      <c r="N29">
        <v>41.2</v>
      </c>
      <c r="O29">
        <v>45</v>
      </c>
      <c r="P29">
        <v>9.3000000000000007</v>
      </c>
      <c r="Q29">
        <v>790</v>
      </c>
      <c r="R29">
        <v>5.0000000000000001E-4</v>
      </c>
      <c r="S29">
        <v>5.0000000000000001E-4</v>
      </c>
      <c r="T29">
        <v>0.254</v>
      </c>
      <c r="U29">
        <v>0.01</v>
      </c>
      <c r="V29">
        <v>5.0000000000000001E-4</v>
      </c>
      <c r="W29">
        <v>7.3999999999999996E-2</v>
      </c>
      <c r="X29">
        <v>10</v>
      </c>
    </row>
    <row r="30" spans="1:24">
      <c r="A30" t="s">
        <v>70</v>
      </c>
      <c r="B30" t="s">
        <v>77</v>
      </c>
      <c r="C30">
        <v>2</v>
      </c>
      <c r="D30">
        <v>4</v>
      </c>
      <c r="E30">
        <v>3</v>
      </c>
      <c r="F30">
        <v>5</v>
      </c>
      <c r="G30">
        <v>3</v>
      </c>
      <c r="H30">
        <v>5</v>
      </c>
      <c r="I30">
        <v>12</v>
      </c>
      <c r="J30">
        <v>1</v>
      </c>
      <c r="K30">
        <v>6.2</v>
      </c>
      <c r="L30">
        <v>28.5</v>
      </c>
      <c r="M30">
        <v>4.8</v>
      </c>
      <c r="N30">
        <v>48.6</v>
      </c>
      <c r="O30">
        <v>41</v>
      </c>
      <c r="P30">
        <v>10.199999999999999</v>
      </c>
      <c r="Q30">
        <v>850</v>
      </c>
      <c r="R30">
        <v>1.0999999999999999E-2</v>
      </c>
      <c r="S30">
        <v>5.0000000000000001E-4</v>
      </c>
      <c r="T30">
        <v>0.28599999999999998</v>
      </c>
      <c r="U30">
        <v>1.7999999999999999E-2</v>
      </c>
      <c r="V30">
        <v>5.0000000000000001E-4</v>
      </c>
      <c r="W30">
        <v>0.13100000000000001</v>
      </c>
      <c r="X30">
        <v>14</v>
      </c>
    </row>
    <row r="31" spans="1:24">
      <c r="A31" t="s">
        <v>71</v>
      </c>
      <c r="B31" t="s">
        <v>77</v>
      </c>
      <c r="C31">
        <v>4</v>
      </c>
      <c r="D31">
        <v>5</v>
      </c>
      <c r="E31">
        <v>1</v>
      </c>
      <c r="F31">
        <v>0</v>
      </c>
      <c r="G31">
        <v>5</v>
      </c>
      <c r="H31">
        <v>5</v>
      </c>
      <c r="I31">
        <v>7</v>
      </c>
      <c r="J31">
        <v>1</v>
      </c>
      <c r="K31">
        <v>6</v>
      </c>
      <c r="L31">
        <v>28.8</v>
      </c>
      <c r="M31">
        <v>4.5</v>
      </c>
      <c r="N31">
        <v>56.3</v>
      </c>
      <c r="O31">
        <v>38</v>
      </c>
      <c r="P31">
        <v>11</v>
      </c>
      <c r="Q31">
        <v>910</v>
      </c>
      <c r="R31">
        <v>5.0000000000000001E-3</v>
      </c>
      <c r="S31">
        <v>5.0000000000000001E-4</v>
      </c>
      <c r="T31">
        <v>0.19600000000000001</v>
      </c>
      <c r="U31">
        <v>1.2999999999999999E-2</v>
      </c>
      <c r="V31">
        <v>5.0000000000000001E-4</v>
      </c>
      <c r="W31">
        <v>6.9000000000000006E-2</v>
      </c>
      <c r="X31">
        <v>11</v>
      </c>
    </row>
    <row r="56" spans="33:35">
      <c r="AG56">
        <v>1</v>
      </c>
    </row>
    <row r="57" spans="33:35">
      <c r="AG57">
        <v>-6.9522428448934379E-17</v>
      </c>
      <c r="AH57">
        <v>1</v>
      </c>
    </row>
    <row r="58" spans="33:35">
      <c r="AG58">
        <v>-1.5230920082037969E-16</v>
      </c>
      <c r="AH58">
        <v>-7.7977927782034037E-2</v>
      </c>
      <c r="AI58">
        <v>1</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A19" sqref="A19"/>
    </sheetView>
  </sheetViews>
  <sheetFormatPr defaultRowHeight="15"/>
  <sheetData>
    <row r="1" spans="1:10">
      <c r="B1" t="s">
        <v>86</v>
      </c>
      <c r="C1" t="s">
        <v>87</v>
      </c>
      <c r="D1" t="s">
        <v>88</v>
      </c>
      <c r="E1" t="s">
        <v>89</v>
      </c>
      <c r="F1" t="s">
        <v>90</v>
      </c>
      <c r="G1" t="s">
        <v>91</v>
      </c>
      <c r="H1" t="s">
        <v>92</v>
      </c>
      <c r="I1" t="s">
        <v>93</v>
      </c>
      <c r="J1" t="s">
        <v>110</v>
      </c>
    </row>
    <row r="2" spans="1:10">
      <c r="A2" t="s">
        <v>110</v>
      </c>
      <c r="B2">
        <v>-0.21843027452864236</v>
      </c>
      <c r="C2">
        <v>-1.1849069516376832E-2</v>
      </c>
      <c r="D2">
        <v>0.33413090464954431</v>
      </c>
      <c r="E2">
        <v>-0.10885942372047593</v>
      </c>
      <c r="F2">
        <v>0.13210663124820787</v>
      </c>
      <c r="G2">
        <v>-1.0619503016302101E-2</v>
      </c>
      <c r="H2">
        <v>0.16236188559481665</v>
      </c>
      <c r="I2">
        <v>0.19394177757364228</v>
      </c>
      <c r="J2">
        <v>1</v>
      </c>
    </row>
    <row r="3" spans="1:10">
      <c r="A3" t="s">
        <v>111</v>
      </c>
      <c r="B3">
        <v>0.16586612259710881</v>
      </c>
      <c r="C3">
        <v>-5.2131915513591164E-2</v>
      </c>
      <c r="D3">
        <v>-0.30262262063054202</v>
      </c>
      <c r="E3">
        <v>5.560987438566168E-2</v>
      </c>
      <c r="F3">
        <v>-0.1398015444910386</v>
      </c>
      <c r="G3">
        <v>-1.5536350129678888E-2</v>
      </c>
      <c r="H3">
        <v>-0.10385717354536741</v>
      </c>
      <c r="I3">
        <v>-0.23551368114365082</v>
      </c>
      <c r="J3">
        <v>-0.964090505098258</v>
      </c>
    </row>
    <row r="4" spans="1:10">
      <c r="A4" t="s">
        <v>112</v>
      </c>
      <c r="B4">
        <v>-0.25565555124898509</v>
      </c>
      <c r="C4">
        <v>-0.50133168396546968</v>
      </c>
      <c r="D4">
        <v>-0.11916080249101453</v>
      </c>
      <c r="E4">
        <v>-0.40430698397254233</v>
      </c>
      <c r="F4">
        <v>-0.14740068238802762</v>
      </c>
      <c r="G4">
        <v>-0.27357320167032684</v>
      </c>
      <c r="H4">
        <v>1.3666460263987389E-2</v>
      </c>
      <c r="I4">
        <v>3.3099376616951876E-3</v>
      </c>
      <c r="J4">
        <v>-0.24283075689221431</v>
      </c>
    </row>
    <row r="5" spans="1:10">
      <c r="A5" t="s">
        <v>113</v>
      </c>
      <c r="B5">
        <v>-6.8314842138985782E-2</v>
      </c>
      <c r="C5">
        <v>-0.36799827103463428</v>
      </c>
      <c r="D5">
        <v>-0.22699582891684594</v>
      </c>
      <c r="E5">
        <v>-0.24653522411444756</v>
      </c>
      <c r="F5">
        <v>-0.17418095605765158</v>
      </c>
      <c r="G5">
        <v>-0.22028437212829571</v>
      </c>
      <c r="H5">
        <v>-7.0922501746088851E-3</v>
      </c>
      <c r="I5">
        <v>-0.13595452971472721</v>
      </c>
      <c r="J5">
        <v>-0.64584307379724526</v>
      </c>
    </row>
    <row r="6" spans="1:10">
      <c r="A6" t="s">
        <v>114</v>
      </c>
      <c r="B6">
        <v>-0.3200385786759275</v>
      </c>
      <c r="C6">
        <v>-5.3860064316343784E-2</v>
      </c>
      <c r="D6">
        <v>0.37415167389661641</v>
      </c>
      <c r="E6">
        <v>-9.2932070573515338E-2</v>
      </c>
      <c r="F6">
        <v>0.10753940943275626</v>
      </c>
      <c r="G6">
        <v>-0.14766798241973414</v>
      </c>
      <c r="H6">
        <v>3.7745274080812498E-2</v>
      </c>
      <c r="I6">
        <v>-1.186733751800579E-2</v>
      </c>
      <c r="J6">
        <v>0.74555847189356272</v>
      </c>
    </row>
    <row r="7" spans="1:10">
      <c r="A7" t="s">
        <v>115</v>
      </c>
      <c r="B7">
        <v>0.32232085804352933</v>
      </c>
      <c r="C7">
        <v>0.16395740948629348</v>
      </c>
      <c r="D7">
        <v>-0.28701672499340941</v>
      </c>
      <c r="E7">
        <v>0.24022563769755606</v>
      </c>
      <c r="F7">
        <v>-9.309770539834672E-2</v>
      </c>
      <c r="G7">
        <v>7.25615243823588E-2</v>
      </c>
      <c r="H7">
        <v>-8.6954385875412807E-2</v>
      </c>
      <c r="I7">
        <v>-0.24507683331652277</v>
      </c>
      <c r="J7">
        <v>-0.95003077014125714</v>
      </c>
    </row>
    <row r="8" spans="1:10">
      <c r="A8" t="s">
        <v>116</v>
      </c>
      <c r="B8">
        <v>0.25370112702873104</v>
      </c>
      <c r="C8">
        <v>7.9624776747891687E-2</v>
      </c>
      <c r="D8">
        <v>-0.31083080264153196</v>
      </c>
      <c r="E8">
        <v>0.16688050996398054</v>
      </c>
      <c r="F8">
        <v>-0.13888172492354167</v>
      </c>
      <c r="G8">
        <v>6.0041514035959843E-2</v>
      </c>
      <c r="H8">
        <v>-8.6692198379602736E-2</v>
      </c>
      <c r="I8">
        <v>-0.24867013153606377</v>
      </c>
      <c r="J8">
        <v>-0.97957537571969344</v>
      </c>
    </row>
    <row r="9" spans="1:10">
      <c r="A9" t="s">
        <v>117</v>
      </c>
      <c r="B9">
        <v>0.23168122265199903</v>
      </c>
      <c r="C9">
        <v>5.9080581939224157E-2</v>
      </c>
      <c r="D9">
        <v>1.9198559280400408E-2</v>
      </c>
      <c r="E9">
        <v>0.3796974705556504</v>
      </c>
      <c r="F9">
        <v>-0.28469244746761796</v>
      </c>
      <c r="G9">
        <v>-9.6167805143508367E-2</v>
      </c>
      <c r="H9">
        <v>0.16936062525428702</v>
      </c>
      <c r="I9">
        <v>3.511153881577174E-2</v>
      </c>
      <c r="J9">
        <v>-0.53555397661326265</v>
      </c>
    </row>
    <row r="10" spans="1:10">
      <c r="A10" t="s">
        <v>118</v>
      </c>
      <c r="B10">
        <v>1.8030795025450321E-16</v>
      </c>
      <c r="C10">
        <v>7.2579972826985981E-17</v>
      </c>
      <c r="D10">
        <v>-1.2811746401787482E-16</v>
      </c>
      <c r="E10">
        <v>-1.7329384989015652E-16</v>
      </c>
      <c r="F10">
        <v>-1.9148362114777154E-16</v>
      </c>
      <c r="G10">
        <v>2.4133906232874724E-16</v>
      </c>
      <c r="H10">
        <v>0</v>
      </c>
      <c r="I10">
        <v>2.1455955404758978E-16</v>
      </c>
      <c r="J10">
        <v>6.439288512133722E-16</v>
      </c>
    </row>
    <row r="11" spans="1:10">
      <c r="A11" t="s">
        <v>119</v>
      </c>
      <c r="B11">
        <v>-9.4852509488822546E-3</v>
      </c>
      <c r="C11">
        <v>6.3808980183419168E-3</v>
      </c>
      <c r="D11">
        <v>0.18504179421258876</v>
      </c>
      <c r="E11">
        <v>5.3241305009703054E-2</v>
      </c>
      <c r="F11">
        <v>-1.9092732525510039E-2</v>
      </c>
      <c r="G11">
        <v>0.10077114971165128</v>
      </c>
      <c r="H11">
        <v>0.45437173279533299</v>
      </c>
      <c r="I11">
        <v>-0.10907037901104269</v>
      </c>
      <c r="J11">
        <v>-1.6494070903786268E-2</v>
      </c>
    </row>
    <row r="12" spans="1:10">
      <c r="A12" t="s">
        <v>120</v>
      </c>
      <c r="B12">
        <v>-0.17070132043050393</v>
      </c>
      <c r="C12">
        <v>-8.2620709312508686E-2</v>
      </c>
      <c r="D12">
        <v>0.22104992346199415</v>
      </c>
      <c r="E12">
        <v>-0.11050121870683212</v>
      </c>
      <c r="F12">
        <v>-7.7519195061349272E-2</v>
      </c>
      <c r="G12">
        <v>3.7327696845999597E-2</v>
      </c>
      <c r="H12">
        <v>-5.769711179825205E-2</v>
      </c>
      <c r="I12">
        <v>-0.10124480790832938</v>
      </c>
      <c r="J12">
        <v>4.783732345294113E-2</v>
      </c>
    </row>
    <row r="13" spans="1:10">
      <c r="A13" t="s">
        <v>121</v>
      </c>
      <c r="B13">
        <v>1.8030795025450321E-16</v>
      </c>
      <c r="C13">
        <v>7.2579972826985981E-17</v>
      </c>
      <c r="D13">
        <v>-1.2811746401787482E-16</v>
      </c>
      <c r="E13">
        <v>-1.7329384989015652E-16</v>
      </c>
      <c r="F13">
        <v>-1.9148362114777154E-16</v>
      </c>
      <c r="G13">
        <v>2.4133906232874724E-16</v>
      </c>
      <c r="H13">
        <v>0</v>
      </c>
      <c r="I13">
        <v>2.1455955404758978E-16</v>
      </c>
      <c r="J13">
        <v>6.439288512133722E-16</v>
      </c>
    </row>
    <row r="14" spans="1:10">
      <c r="A14" t="s">
        <v>122</v>
      </c>
      <c r="B14">
        <v>-3.1706926074046925E-2</v>
      </c>
      <c r="C14">
        <v>-0.17287473661829877</v>
      </c>
      <c r="D14">
        <v>-3.4606117005774525E-2</v>
      </c>
      <c r="E14">
        <v>0.1209021501775021</v>
      </c>
      <c r="F14">
        <v>-0.43363451782158735</v>
      </c>
      <c r="G14">
        <v>-0.41704068480782719</v>
      </c>
      <c r="H14">
        <v>0.28944107871155078</v>
      </c>
      <c r="I14">
        <v>-0.22452707734942737</v>
      </c>
      <c r="J14">
        <v>-0.43345660932852037</v>
      </c>
    </row>
    <row r="15" spans="1:10">
      <c r="A15" t="s">
        <v>138</v>
      </c>
      <c r="B15">
        <v>0.67274857747452987</v>
      </c>
      <c r="C15">
        <v>0.6309768890281946</v>
      </c>
      <c r="D15">
        <v>0.51045039648124335</v>
      </c>
      <c r="E15">
        <v>0.46899307590254918</v>
      </c>
      <c r="F15">
        <v>-4.2963170335680194E-2</v>
      </c>
      <c r="G15">
        <v>1.2403198680691908E-2</v>
      </c>
      <c r="H15">
        <v>0.24104769378550547</v>
      </c>
      <c r="I15">
        <v>-4.8366658261337875E-2</v>
      </c>
      <c r="J15">
        <v>-1.4819270754599666E-2</v>
      </c>
    </row>
  </sheetData>
  <conditionalFormatting sqref="B2:J15">
    <cfRule type="iconSet" priority="3">
      <iconSet iconSet="3Arrows">
        <cfvo type="percent" val="0"/>
        <cfvo type="percent" val="33"/>
        <cfvo type="percent" val="67"/>
      </iconSet>
    </cfRule>
    <cfRule type="colorScale" priority="4">
      <colorScale>
        <cfvo type="min"/>
        <cfvo type="percentile" val="50"/>
        <cfvo type="max"/>
        <color rgb="FFF8696B"/>
        <color rgb="FFFCFCFF"/>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8"/>
  <sheetViews>
    <sheetView workbookViewId="0">
      <selection activeCell="H26" sqref="H26"/>
    </sheetView>
  </sheetViews>
  <sheetFormatPr defaultRowHeight="15"/>
  <cols>
    <col min="1" max="1" width="13.140625" customWidth="1"/>
    <col min="2" max="2" width="10" customWidth="1"/>
    <col min="3" max="3" width="19.42578125" customWidth="1"/>
    <col min="4" max="4" width="13.140625" customWidth="1"/>
    <col min="5" max="6" width="16.28515625" customWidth="1"/>
    <col min="7" max="10" width="16.140625" customWidth="1"/>
    <col min="11" max="11" width="16" customWidth="1"/>
    <col min="12" max="12" width="16" bestFit="1" customWidth="1"/>
    <col min="13" max="13" width="16.28515625" bestFit="1" customWidth="1"/>
    <col min="14" max="14" width="16.140625" bestFit="1" customWidth="1"/>
  </cols>
  <sheetData>
    <row r="3" spans="1:10">
      <c r="A3" s="32" t="s">
        <v>78</v>
      </c>
      <c r="B3" t="s">
        <v>124</v>
      </c>
      <c r="C3" t="s">
        <v>125</v>
      </c>
      <c r="D3" t="s">
        <v>126</v>
      </c>
      <c r="E3" t="s">
        <v>127</v>
      </c>
      <c r="F3" t="s">
        <v>128</v>
      </c>
      <c r="G3" t="s">
        <v>129</v>
      </c>
      <c r="H3" t="s">
        <v>130</v>
      </c>
    </row>
    <row r="4" spans="1:10">
      <c r="A4" s="33" t="s">
        <v>1</v>
      </c>
      <c r="B4" s="34">
        <v>65.599999999999994</v>
      </c>
      <c r="C4" s="34">
        <v>277.60000000000002</v>
      </c>
      <c r="D4" s="34">
        <v>505.09999999999997</v>
      </c>
      <c r="E4" s="34">
        <v>793.6</v>
      </c>
      <c r="F4" s="34">
        <v>482</v>
      </c>
      <c r="G4" s="34">
        <v>57</v>
      </c>
      <c r="H4" s="34">
        <v>6220</v>
      </c>
    </row>
    <row r="5" spans="1:10">
      <c r="A5" s="33" t="s">
        <v>76</v>
      </c>
      <c r="B5" s="34">
        <v>67.399999999999991</v>
      </c>
      <c r="C5" s="34">
        <v>269.10000000000002</v>
      </c>
      <c r="D5" s="34">
        <v>65.900000000000006</v>
      </c>
      <c r="E5" s="34">
        <v>185.6</v>
      </c>
      <c r="F5" s="34">
        <v>420</v>
      </c>
      <c r="G5" s="34">
        <v>56.3</v>
      </c>
      <c r="H5" s="34">
        <v>5490</v>
      </c>
    </row>
    <row r="6" spans="1:10">
      <c r="A6" s="33" t="s">
        <v>77</v>
      </c>
      <c r="B6" s="34">
        <v>65.8</v>
      </c>
      <c r="C6" s="34">
        <v>275.2</v>
      </c>
      <c r="D6" s="34">
        <v>60.999999999999993</v>
      </c>
      <c r="E6" s="34">
        <v>292.49999999999994</v>
      </c>
      <c r="F6" s="34">
        <v>550</v>
      </c>
      <c r="G6" s="34">
        <v>71.2</v>
      </c>
      <c r="H6" s="34">
        <v>6470</v>
      </c>
    </row>
    <row r="7" spans="1:10">
      <c r="A7" s="33" t="s">
        <v>83</v>
      </c>
      <c r="B7" s="34">
        <v>198.8</v>
      </c>
      <c r="C7" s="34">
        <v>821.90000000000009</v>
      </c>
      <c r="D7" s="34">
        <v>632</v>
      </c>
      <c r="E7" s="34">
        <v>1271.7</v>
      </c>
      <c r="F7" s="34">
        <v>1452</v>
      </c>
      <c r="G7" s="34">
        <v>184.5</v>
      </c>
      <c r="H7" s="34">
        <v>18180</v>
      </c>
    </row>
    <row r="14" spans="1:10">
      <c r="J14" t="s">
        <v>137</v>
      </c>
    </row>
    <row r="25" spans="4:10">
      <c r="D25" s="32" t="s">
        <v>78</v>
      </c>
      <c r="E25" t="s">
        <v>131</v>
      </c>
      <c r="F25" t="s">
        <v>132</v>
      </c>
      <c r="G25" t="s">
        <v>133</v>
      </c>
      <c r="H25" t="s">
        <v>134</v>
      </c>
      <c r="I25" t="s">
        <v>135</v>
      </c>
      <c r="J25" t="s">
        <v>136</v>
      </c>
    </row>
    <row r="26" spans="4:10">
      <c r="D26" s="33" t="s">
        <v>1</v>
      </c>
      <c r="E26" s="34">
        <v>3.0500000000000003E-2</v>
      </c>
      <c r="F26" s="34">
        <v>5.000000000000001E-3</v>
      </c>
      <c r="G26" s="34">
        <v>1.9349999999999998</v>
      </c>
      <c r="H26" s="34">
        <v>0.16800000000000004</v>
      </c>
      <c r="I26" s="34">
        <v>5.000000000000001E-3</v>
      </c>
      <c r="J26" s="34">
        <v>0.93900000000000006</v>
      </c>
    </row>
    <row r="27" spans="4:10">
      <c r="D27" s="33" t="s">
        <v>76</v>
      </c>
      <c r="E27" s="34">
        <v>2.4E-2</v>
      </c>
      <c r="F27" s="34">
        <v>5.000000000000001E-3</v>
      </c>
      <c r="G27" s="34">
        <v>1.3739999999999999</v>
      </c>
      <c r="H27" s="34">
        <v>3.7499999999999999E-2</v>
      </c>
      <c r="I27" s="34">
        <v>5.000000000000001E-3</v>
      </c>
      <c r="J27" s="34">
        <v>0.34599999999999992</v>
      </c>
    </row>
    <row r="28" spans="4:10">
      <c r="D28" s="33" t="s">
        <v>77</v>
      </c>
      <c r="E28" s="34">
        <v>2.9000000000000001E-2</v>
      </c>
      <c r="F28" s="34">
        <v>5.000000000000001E-3</v>
      </c>
      <c r="G28" s="34">
        <v>1.853</v>
      </c>
      <c r="H28" s="34">
        <v>0.11599999999999999</v>
      </c>
      <c r="I28" s="34">
        <v>5.000000000000001E-3</v>
      </c>
      <c r="J28" s="34">
        <v>0.746</v>
      </c>
    </row>
    <row r="29" spans="4:10">
      <c r="D29" s="33" t="s">
        <v>83</v>
      </c>
      <c r="E29" s="34">
        <v>8.3500000000000005E-2</v>
      </c>
      <c r="F29" s="34">
        <v>1.5000000000000003E-2</v>
      </c>
      <c r="G29" s="34">
        <v>5.1619999999999999</v>
      </c>
      <c r="H29" s="34">
        <v>0.32150000000000001</v>
      </c>
      <c r="I29" s="34">
        <v>1.5000000000000003E-2</v>
      </c>
      <c r="J29" s="34">
        <v>2.0309999999999997</v>
      </c>
    </row>
    <row r="54" spans="4:7">
      <c r="D54" s="32" t="s">
        <v>78</v>
      </c>
      <c r="E54" t="s">
        <v>131</v>
      </c>
      <c r="F54" t="s">
        <v>135</v>
      </c>
      <c r="G54" t="s">
        <v>136</v>
      </c>
    </row>
    <row r="55" spans="4:7">
      <c r="D55" s="33" t="s">
        <v>1</v>
      </c>
      <c r="E55" s="34">
        <v>3.0500000000000003E-2</v>
      </c>
      <c r="F55" s="34">
        <v>5.000000000000001E-3</v>
      </c>
      <c r="G55" s="34">
        <v>0.93900000000000006</v>
      </c>
    </row>
    <row r="56" spans="4:7">
      <c r="D56" s="33" t="s">
        <v>76</v>
      </c>
      <c r="E56" s="34">
        <v>2.4E-2</v>
      </c>
      <c r="F56" s="34">
        <v>5.000000000000001E-3</v>
      </c>
      <c r="G56" s="34">
        <v>0.34599999999999992</v>
      </c>
    </row>
    <row r="57" spans="4:7">
      <c r="D57" s="33" t="s">
        <v>77</v>
      </c>
      <c r="E57" s="34">
        <v>2.9000000000000001E-2</v>
      </c>
      <c r="F57" s="34">
        <v>5.000000000000001E-3</v>
      </c>
      <c r="G57" s="34">
        <v>0.746</v>
      </c>
    </row>
    <row r="58" spans="4:7">
      <c r="D58" s="33" t="s">
        <v>83</v>
      </c>
      <c r="E58" s="34">
        <v>8.3500000000000005E-2</v>
      </c>
      <c r="F58" s="34">
        <v>1.5000000000000003E-2</v>
      </c>
      <c r="G58" s="34">
        <v>2.0309999999999997</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2"/>
  <sheetViews>
    <sheetView zoomScale="59" zoomScaleNormal="59" workbookViewId="0">
      <selection activeCell="H16" sqref="H16"/>
    </sheetView>
  </sheetViews>
  <sheetFormatPr defaultRowHeight="15"/>
  <cols>
    <col min="1" max="1" width="20" customWidth="1"/>
    <col min="2" max="2" width="17.5703125" customWidth="1"/>
    <col min="3" max="3" width="16.85546875" customWidth="1"/>
    <col min="4" max="5" width="11.28515625" customWidth="1"/>
    <col min="6" max="10" width="16.28515625" bestFit="1" customWidth="1"/>
    <col min="11" max="11" width="11.28515625" bestFit="1" customWidth="1"/>
  </cols>
  <sheetData>
    <row r="3" spans="1:2">
      <c r="A3" s="32" t="s">
        <v>78</v>
      </c>
      <c r="B3" t="s">
        <v>85</v>
      </c>
    </row>
    <row r="4" spans="1:2">
      <c r="A4" s="33" t="s">
        <v>62</v>
      </c>
      <c r="B4" s="34">
        <v>7</v>
      </c>
    </row>
    <row r="5" spans="1:2">
      <c r="A5" s="33" t="s">
        <v>63</v>
      </c>
      <c r="B5" s="34">
        <v>8</v>
      </c>
    </row>
    <row r="6" spans="1:2">
      <c r="A6" s="33" t="s">
        <v>64</v>
      </c>
      <c r="B6" s="34">
        <v>4</v>
      </c>
    </row>
    <row r="7" spans="1:2">
      <c r="A7" s="33" t="s">
        <v>65</v>
      </c>
      <c r="B7" s="34">
        <v>7</v>
      </c>
    </row>
    <row r="8" spans="1:2">
      <c r="A8" s="33" t="s">
        <v>66</v>
      </c>
      <c r="B8" s="34">
        <v>11</v>
      </c>
    </row>
    <row r="9" spans="1:2">
      <c r="A9" s="33" t="s">
        <v>67</v>
      </c>
      <c r="B9" s="34">
        <v>5</v>
      </c>
    </row>
    <row r="10" spans="1:2">
      <c r="A10" s="33" t="s">
        <v>68</v>
      </c>
      <c r="B10" s="34">
        <v>2</v>
      </c>
    </row>
    <row r="11" spans="1:2">
      <c r="A11" s="33" t="s">
        <v>69</v>
      </c>
      <c r="B11" s="34">
        <v>1</v>
      </c>
    </row>
    <row r="12" spans="1:2">
      <c r="A12" s="33" t="s">
        <v>70</v>
      </c>
      <c r="B12" s="34">
        <v>7</v>
      </c>
    </row>
    <row r="13" spans="1:2">
      <c r="A13" s="33" t="s">
        <v>71</v>
      </c>
      <c r="B13" s="34">
        <v>12</v>
      </c>
    </row>
    <row r="14" spans="1:2">
      <c r="A14" s="33" t="s">
        <v>83</v>
      </c>
      <c r="B14" s="34">
        <v>64</v>
      </c>
    </row>
    <row r="18" spans="1:3">
      <c r="A18" s="32" t="s">
        <v>78</v>
      </c>
      <c r="B18" t="s">
        <v>85</v>
      </c>
    </row>
    <row r="19" spans="1:3">
      <c r="A19" s="33" t="s">
        <v>1</v>
      </c>
      <c r="B19" s="34">
        <v>64</v>
      </c>
    </row>
    <row r="20" spans="1:3">
      <c r="A20" s="33" t="s">
        <v>76</v>
      </c>
      <c r="B20" s="34">
        <v>100</v>
      </c>
    </row>
    <row r="21" spans="1:3">
      <c r="A21" s="33" t="s">
        <v>77</v>
      </c>
      <c r="B21" s="34">
        <v>117</v>
      </c>
    </row>
    <row r="22" spans="1:3">
      <c r="A22" s="33" t="s">
        <v>83</v>
      </c>
      <c r="B22" s="34">
        <v>281</v>
      </c>
    </row>
    <row r="30" spans="1:3">
      <c r="A30" s="32" t="s">
        <v>85</v>
      </c>
      <c r="B30" s="32" t="s">
        <v>209</v>
      </c>
    </row>
    <row r="31" spans="1:3">
      <c r="A31" s="32" t="s">
        <v>78</v>
      </c>
      <c r="B31" t="s">
        <v>1</v>
      </c>
      <c r="C31" t="s">
        <v>83</v>
      </c>
    </row>
    <row r="32" spans="1:3">
      <c r="A32" s="33" t="s">
        <v>62</v>
      </c>
      <c r="B32" s="34">
        <v>7</v>
      </c>
      <c r="C32" s="34">
        <v>7</v>
      </c>
    </row>
    <row r="33" spans="1:3">
      <c r="A33" s="33" t="s">
        <v>63</v>
      </c>
      <c r="B33" s="34">
        <v>8</v>
      </c>
      <c r="C33" s="34">
        <v>8</v>
      </c>
    </row>
    <row r="34" spans="1:3">
      <c r="A34" s="33" t="s">
        <v>64</v>
      </c>
      <c r="B34" s="34">
        <v>4</v>
      </c>
      <c r="C34" s="34">
        <v>4</v>
      </c>
    </row>
    <row r="35" spans="1:3">
      <c r="A35" s="33" t="s">
        <v>65</v>
      </c>
      <c r="B35" s="34">
        <v>7</v>
      </c>
      <c r="C35" s="34">
        <v>7</v>
      </c>
    </row>
    <row r="36" spans="1:3">
      <c r="A36" s="33" t="s">
        <v>66</v>
      </c>
      <c r="B36" s="34">
        <v>11</v>
      </c>
      <c r="C36" s="34">
        <v>11</v>
      </c>
    </row>
    <row r="37" spans="1:3">
      <c r="A37" s="33" t="s">
        <v>67</v>
      </c>
      <c r="B37" s="34">
        <v>5</v>
      </c>
      <c r="C37" s="34">
        <v>5</v>
      </c>
    </row>
    <row r="38" spans="1:3">
      <c r="A38" s="33" t="s">
        <v>68</v>
      </c>
      <c r="B38" s="34">
        <v>2</v>
      </c>
      <c r="C38" s="34">
        <v>2</v>
      </c>
    </row>
    <row r="39" spans="1:3">
      <c r="A39" s="33" t="s">
        <v>69</v>
      </c>
      <c r="B39" s="34">
        <v>1</v>
      </c>
      <c r="C39" s="34">
        <v>1</v>
      </c>
    </row>
    <row r="40" spans="1:3">
      <c r="A40" s="33" t="s">
        <v>70</v>
      </c>
      <c r="B40" s="34">
        <v>7</v>
      </c>
      <c r="C40" s="34">
        <v>7</v>
      </c>
    </row>
    <row r="41" spans="1:3">
      <c r="A41" s="33" t="s">
        <v>71</v>
      </c>
      <c r="B41" s="34">
        <v>12</v>
      </c>
      <c r="C41" s="34">
        <v>12</v>
      </c>
    </row>
    <row r="42" spans="1:3">
      <c r="A42" s="33" t="s">
        <v>83</v>
      </c>
      <c r="B42" s="34">
        <v>64</v>
      </c>
      <c r="C42" s="34">
        <v>64</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1"/>
  <sheetViews>
    <sheetView topLeftCell="R44" workbookViewId="0">
      <selection activeCell="A2" sqref="A2:AJ51"/>
    </sheetView>
  </sheetViews>
  <sheetFormatPr defaultRowHeight="15"/>
  <sheetData>
    <row r="1" spans="1:36">
      <c r="A1" s="39" t="s">
        <v>142</v>
      </c>
      <c r="B1" s="39" t="s">
        <v>143</v>
      </c>
      <c r="C1" s="39" t="s">
        <v>62</v>
      </c>
      <c r="D1" s="39" t="s">
        <v>63</v>
      </c>
      <c r="E1" s="39" t="s">
        <v>64</v>
      </c>
      <c r="F1" s="39" t="s">
        <v>65</v>
      </c>
      <c r="G1" s="39" t="s">
        <v>66</v>
      </c>
      <c r="H1" s="39" t="s">
        <v>67</v>
      </c>
      <c r="I1" s="39" t="s">
        <v>68</v>
      </c>
      <c r="J1" s="39" t="s">
        <v>69</v>
      </c>
      <c r="K1" s="39" t="s">
        <v>70</v>
      </c>
      <c r="L1" s="39" t="s">
        <v>71</v>
      </c>
      <c r="M1" s="39" t="s">
        <v>62</v>
      </c>
      <c r="N1" s="39" t="s">
        <v>63</v>
      </c>
      <c r="O1" s="39" t="s">
        <v>64</v>
      </c>
      <c r="P1" s="39" t="s">
        <v>65</v>
      </c>
      <c r="Q1" s="39" t="s">
        <v>66</v>
      </c>
      <c r="R1" s="39" t="s">
        <v>67</v>
      </c>
      <c r="S1" s="39" t="s">
        <v>68</v>
      </c>
      <c r="T1" s="39" t="s">
        <v>69</v>
      </c>
      <c r="U1" s="39" t="s">
        <v>70</v>
      </c>
      <c r="V1" s="39" t="s">
        <v>71</v>
      </c>
      <c r="W1" s="39" t="s">
        <v>62</v>
      </c>
      <c r="X1" s="39" t="s">
        <v>63</v>
      </c>
      <c r="Y1" s="39" t="s">
        <v>64</v>
      </c>
      <c r="Z1" s="39" t="s">
        <v>65</v>
      </c>
      <c r="AA1" s="39" t="s">
        <v>66</v>
      </c>
      <c r="AB1" s="39" t="s">
        <v>67</v>
      </c>
      <c r="AC1" s="39" t="s">
        <v>68</v>
      </c>
      <c r="AD1" s="39" t="s">
        <v>69</v>
      </c>
      <c r="AE1" s="39" t="s">
        <v>70</v>
      </c>
      <c r="AF1" s="39" t="s">
        <v>71</v>
      </c>
      <c r="AG1" s="40" t="s">
        <v>144</v>
      </c>
      <c r="AH1" s="40" t="s">
        <v>145</v>
      </c>
      <c r="AI1" s="40" t="s">
        <v>146</v>
      </c>
      <c r="AJ1" s="40" t="s">
        <v>147</v>
      </c>
    </row>
    <row r="2" spans="1:36">
      <c r="A2" t="s">
        <v>148</v>
      </c>
      <c r="B2" t="s">
        <v>90</v>
      </c>
      <c r="C2">
        <v>0</v>
      </c>
      <c r="D2">
        <v>0</v>
      </c>
      <c r="E2">
        <v>0</v>
      </c>
      <c r="F2">
        <v>0</v>
      </c>
      <c r="G2">
        <v>0</v>
      </c>
      <c r="H2">
        <v>1</v>
      </c>
      <c r="I2">
        <v>0</v>
      </c>
      <c r="J2">
        <v>0</v>
      </c>
      <c r="K2">
        <v>0</v>
      </c>
      <c r="L2">
        <v>0</v>
      </c>
      <c r="M2">
        <v>0</v>
      </c>
      <c r="N2">
        <v>0</v>
      </c>
      <c r="O2">
        <v>1</v>
      </c>
      <c r="P2">
        <v>1</v>
      </c>
      <c r="Q2">
        <v>0</v>
      </c>
      <c r="R2">
        <v>1</v>
      </c>
      <c r="S2">
        <v>1</v>
      </c>
      <c r="T2">
        <v>1</v>
      </c>
      <c r="U2">
        <v>0</v>
      </c>
      <c r="V2">
        <v>1</v>
      </c>
      <c r="W2">
        <v>0</v>
      </c>
      <c r="X2">
        <v>0</v>
      </c>
      <c r="Y2">
        <v>1</v>
      </c>
      <c r="Z2">
        <v>1</v>
      </c>
      <c r="AA2">
        <v>1</v>
      </c>
      <c r="AB2">
        <v>0</v>
      </c>
      <c r="AC2">
        <v>1</v>
      </c>
      <c r="AD2">
        <v>1</v>
      </c>
      <c r="AE2">
        <v>0</v>
      </c>
      <c r="AF2">
        <v>0</v>
      </c>
      <c r="AG2">
        <f>SUM(C2:AF2)</f>
        <v>12</v>
      </c>
      <c r="AH2">
        <f>SUM(C2:L2)</f>
        <v>1</v>
      </c>
      <c r="AI2">
        <f>SUM(M2:V2)</f>
        <v>6</v>
      </c>
      <c r="AJ2">
        <f>SUM(W2:AF2)</f>
        <v>5</v>
      </c>
    </row>
    <row r="3" spans="1:36">
      <c r="A3" t="s">
        <v>149</v>
      </c>
      <c r="B3" t="s">
        <v>90</v>
      </c>
      <c r="C3">
        <v>0</v>
      </c>
      <c r="D3">
        <v>1</v>
      </c>
      <c r="E3">
        <v>0</v>
      </c>
      <c r="F3">
        <v>0</v>
      </c>
      <c r="G3">
        <v>0</v>
      </c>
      <c r="H3">
        <v>0</v>
      </c>
      <c r="I3">
        <v>1</v>
      </c>
      <c r="J3">
        <v>1</v>
      </c>
      <c r="K3">
        <v>0</v>
      </c>
      <c r="L3">
        <v>1</v>
      </c>
      <c r="M3">
        <v>1</v>
      </c>
      <c r="N3">
        <v>0</v>
      </c>
      <c r="O3">
        <v>1</v>
      </c>
      <c r="P3">
        <v>1</v>
      </c>
      <c r="Q3">
        <v>1</v>
      </c>
      <c r="R3">
        <v>0</v>
      </c>
      <c r="S3">
        <v>1</v>
      </c>
      <c r="T3">
        <v>1</v>
      </c>
      <c r="U3">
        <v>1</v>
      </c>
      <c r="V3">
        <v>0</v>
      </c>
      <c r="W3">
        <v>0</v>
      </c>
      <c r="X3">
        <v>0</v>
      </c>
      <c r="Y3">
        <v>0</v>
      </c>
      <c r="Z3">
        <v>1</v>
      </c>
      <c r="AA3">
        <v>1</v>
      </c>
      <c r="AB3">
        <v>0</v>
      </c>
      <c r="AC3">
        <v>1</v>
      </c>
      <c r="AD3">
        <v>0</v>
      </c>
      <c r="AE3">
        <v>0</v>
      </c>
      <c r="AF3">
        <v>0</v>
      </c>
      <c r="AG3">
        <f t="shared" ref="AG3:AG51" si="0">SUM(C3:AF3)</f>
        <v>14</v>
      </c>
      <c r="AH3">
        <f t="shared" ref="AH3:AH51" si="1">SUM(C3:L3)</f>
        <v>4</v>
      </c>
      <c r="AI3">
        <f t="shared" ref="AI3:AI51" si="2">SUM(M3:V3)</f>
        <v>7</v>
      </c>
      <c r="AJ3">
        <f t="shared" ref="AJ3:AJ51" si="3">SUM(W3:AF3)</f>
        <v>3</v>
      </c>
    </row>
    <row r="4" spans="1:36">
      <c r="A4" t="s">
        <v>150</v>
      </c>
      <c r="B4" t="s">
        <v>90</v>
      </c>
      <c r="C4">
        <v>0</v>
      </c>
      <c r="D4">
        <v>0</v>
      </c>
      <c r="E4">
        <v>1</v>
      </c>
      <c r="F4">
        <v>1</v>
      </c>
      <c r="G4">
        <v>0</v>
      </c>
      <c r="H4">
        <v>0</v>
      </c>
      <c r="I4">
        <v>0</v>
      </c>
      <c r="J4">
        <v>1</v>
      </c>
      <c r="K4">
        <v>0</v>
      </c>
      <c r="L4">
        <v>1</v>
      </c>
      <c r="M4">
        <v>1</v>
      </c>
      <c r="N4">
        <v>1</v>
      </c>
      <c r="O4">
        <v>1</v>
      </c>
      <c r="P4">
        <v>0</v>
      </c>
      <c r="Q4">
        <v>1</v>
      </c>
      <c r="R4">
        <v>0</v>
      </c>
      <c r="S4">
        <v>1</v>
      </c>
      <c r="T4">
        <v>0</v>
      </c>
      <c r="U4">
        <v>1</v>
      </c>
      <c r="V4">
        <v>0</v>
      </c>
      <c r="W4">
        <v>0</v>
      </c>
      <c r="X4">
        <v>0</v>
      </c>
      <c r="Y4">
        <v>0</v>
      </c>
      <c r="Z4">
        <v>0</v>
      </c>
      <c r="AA4">
        <v>0</v>
      </c>
      <c r="AB4">
        <v>0</v>
      </c>
      <c r="AC4">
        <v>1</v>
      </c>
      <c r="AD4">
        <v>1</v>
      </c>
      <c r="AE4">
        <v>1</v>
      </c>
      <c r="AF4">
        <v>1</v>
      </c>
      <c r="AG4">
        <f t="shared" si="0"/>
        <v>14</v>
      </c>
      <c r="AH4">
        <f t="shared" si="1"/>
        <v>4</v>
      </c>
      <c r="AI4">
        <f t="shared" si="2"/>
        <v>6</v>
      </c>
      <c r="AJ4">
        <f t="shared" si="3"/>
        <v>4</v>
      </c>
    </row>
    <row r="5" spans="1:36">
      <c r="A5" t="s">
        <v>151</v>
      </c>
      <c r="B5" t="s">
        <v>90</v>
      </c>
      <c r="C5">
        <v>1</v>
      </c>
      <c r="D5">
        <v>1</v>
      </c>
      <c r="E5">
        <v>0</v>
      </c>
      <c r="F5">
        <v>0</v>
      </c>
      <c r="G5">
        <v>0</v>
      </c>
      <c r="H5">
        <v>1</v>
      </c>
      <c r="I5">
        <v>0</v>
      </c>
      <c r="J5">
        <v>0</v>
      </c>
      <c r="K5">
        <v>0</v>
      </c>
      <c r="L5">
        <v>0</v>
      </c>
      <c r="M5">
        <v>1</v>
      </c>
      <c r="N5">
        <v>1</v>
      </c>
      <c r="O5">
        <v>0</v>
      </c>
      <c r="P5">
        <v>0</v>
      </c>
      <c r="Q5">
        <v>0</v>
      </c>
      <c r="R5">
        <v>1</v>
      </c>
      <c r="S5">
        <v>0</v>
      </c>
      <c r="T5">
        <v>1</v>
      </c>
      <c r="U5">
        <v>1</v>
      </c>
      <c r="V5">
        <v>0</v>
      </c>
      <c r="W5">
        <v>0</v>
      </c>
      <c r="X5">
        <v>0</v>
      </c>
      <c r="Y5">
        <v>1</v>
      </c>
      <c r="Z5">
        <v>1</v>
      </c>
      <c r="AA5">
        <v>1</v>
      </c>
      <c r="AB5">
        <v>0</v>
      </c>
      <c r="AC5">
        <v>1</v>
      </c>
      <c r="AD5">
        <v>0</v>
      </c>
      <c r="AE5">
        <v>0</v>
      </c>
      <c r="AF5">
        <v>0</v>
      </c>
      <c r="AG5">
        <f t="shared" si="0"/>
        <v>12</v>
      </c>
      <c r="AH5">
        <f t="shared" si="1"/>
        <v>3</v>
      </c>
      <c r="AI5">
        <f t="shared" si="2"/>
        <v>5</v>
      </c>
      <c r="AJ5">
        <f t="shared" si="3"/>
        <v>4</v>
      </c>
    </row>
    <row r="6" spans="1:36">
      <c r="A6" t="s">
        <v>152</v>
      </c>
      <c r="B6" t="s">
        <v>90</v>
      </c>
      <c r="C6">
        <v>0</v>
      </c>
      <c r="D6">
        <v>0</v>
      </c>
      <c r="E6">
        <v>1</v>
      </c>
      <c r="F6">
        <v>0</v>
      </c>
      <c r="G6">
        <v>0</v>
      </c>
      <c r="H6">
        <v>1</v>
      </c>
      <c r="I6">
        <v>1</v>
      </c>
      <c r="J6">
        <v>0</v>
      </c>
      <c r="K6">
        <v>0</v>
      </c>
      <c r="L6">
        <v>0</v>
      </c>
      <c r="M6">
        <v>0</v>
      </c>
      <c r="N6">
        <v>1</v>
      </c>
      <c r="O6">
        <v>1</v>
      </c>
      <c r="P6">
        <v>1</v>
      </c>
      <c r="Q6">
        <v>1</v>
      </c>
      <c r="R6">
        <v>1</v>
      </c>
      <c r="S6">
        <v>0</v>
      </c>
      <c r="T6">
        <v>0</v>
      </c>
      <c r="U6">
        <v>1</v>
      </c>
      <c r="V6">
        <v>0</v>
      </c>
      <c r="W6">
        <v>0</v>
      </c>
      <c r="X6">
        <v>0</v>
      </c>
      <c r="Y6">
        <v>0</v>
      </c>
      <c r="Z6">
        <v>0</v>
      </c>
      <c r="AA6">
        <v>0</v>
      </c>
      <c r="AB6">
        <v>1</v>
      </c>
      <c r="AC6">
        <v>0</v>
      </c>
      <c r="AD6">
        <v>0</v>
      </c>
      <c r="AE6">
        <v>0</v>
      </c>
      <c r="AF6">
        <v>0</v>
      </c>
      <c r="AG6">
        <f t="shared" si="0"/>
        <v>10</v>
      </c>
      <c r="AH6">
        <f t="shared" si="1"/>
        <v>3</v>
      </c>
      <c r="AI6">
        <f t="shared" si="2"/>
        <v>6</v>
      </c>
      <c r="AJ6">
        <f t="shared" si="3"/>
        <v>1</v>
      </c>
    </row>
    <row r="7" spans="1:36">
      <c r="A7" t="s">
        <v>153</v>
      </c>
      <c r="B7" t="s">
        <v>90</v>
      </c>
      <c r="C7">
        <v>0</v>
      </c>
      <c r="D7">
        <v>0</v>
      </c>
      <c r="E7">
        <v>0</v>
      </c>
      <c r="F7">
        <v>1</v>
      </c>
      <c r="G7">
        <v>1</v>
      </c>
      <c r="H7">
        <v>1</v>
      </c>
      <c r="I7">
        <v>0</v>
      </c>
      <c r="J7">
        <v>1</v>
      </c>
      <c r="K7">
        <v>0</v>
      </c>
      <c r="L7">
        <v>0</v>
      </c>
      <c r="M7">
        <v>0</v>
      </c>
      <c r="N7">
        <v>0</v>
      </c>
      <c r="O7">
        <v>0</v>
      </c>
      <c r="P7">
        <v>0</v>
      </c>
      <c r="Q7">
        <v>0</v>
      </c>
      <c r="R7">
        <v>0</v>
      </c>
      <c r="S7">
        <v>0</v>
      </c>
      <c r="T7">
        <v>0</v>
      </c>
      <c r="U7">
        <v>0</v>
      </c>
      <c r="V7">
        <v>0</v>
      </c>
      <c r="W7">
        <v>1</v>
      </c>
      <c r="X7">
        <v>1</v>
      </c>
      <c r="Y7">
        <v>1</v>
      </c>
      <c r="Z7">
        <v>1</v>
      </c>
      <c r="AA7">
        <v>0</v>
      </c>
      <c r="AB7">
        <v>0</v>
      </c>
      <c r="AC7">
        <v>0</v>
      </c>
      <c r="AD7">
        <v>0</v>
      </c>
      <c r="AE7">
        <v>1</v>
      </c>
      <c r="AF7">
        <v>1</v>
      </c>
      <c r="AG7">
        <f t="shared" si="0"/>
        <v>10</v>
      </c>
      <c r="AH7">
        <f t="shared" si="1"/>
        <v>4</v>
      </c>
      <c r="AI7">
        <f t="shared" si="2"/>
        <v>0</v>
      </c>
      <c r="AJ7">
        <f t="shared" si="3"/>
        <v>6</v>
      </c>
    </row>
    <row r="8" spans="1:36">
      <c r="A8" t="s">
        <v>154</v>
      </c>
      <c r="B8" t="s">
        <v>90</v>
      </c>
      <c r="C8">
        <v>1</v>
      </c>
      <c r="D8">
        <v>0</v>
      </c>
      <c r="E8">
        <v>0</v>
      </c>
      <c r="F8">
        <v>1</v>
      </c>
      <c r="G8">
        <v>0</v>
      </c>
      <c r="H8">
        <v>0</v>
      </c>
      <c r="I8">
        <v>0</v>
      </c>
      <c r="J8">
        <v>0</v>
      </c>
      <c r="K8">
        <v>0</v>
      </c>
      <c r="L8">
        <v>1</v>
      </c>
      <c r="M8">
        <v>1</v>
      </c>
      <c r="N8">
        <v>0</v>
      </c>
      <c r="O8">
        <v>0</v>
      </c>
      <c r="P8">
        <v>1</v>
      </c>
      <c r="Q8">
        <v>1</v>
      </c>
      <c r="R8">
        <v>0</v>
      </c>
      <c r="S8">
        <v>1</v>
      </c>
      <c r="T8">
        <v>1</v>
      </c>
      <c r="U8">
        <v>0</v>
      </c>
      <c r="V8">
        <v>0</v>
      </c>
      <c r="W8">
        <v>1</v>
      </c>
      <c r="X8">
        <v>0</v>
      </c>
      <c r="Y8">
        <v>0</v>
      </c>
      <c r="Z8">
        <v>0</v>
      </c>
      <c r="AA8">
        <v>0</v>
      </c>
      <c r="AB8">
        <v>0</v>
      </c>
      <c r="AC8">
        <v>0</v>
      </c>
      <c r="AD8">
        <v>0</v>
      </c>
      <c r="AE8">
        <v>0</v>
      </c>
      <c r="AF8">
        <v>0</v>
      </c>
      <c r="AG8">
        <f t="shared" si="0"/>
        <v>9</v>
      </c>
      <c r="AH8">
        <f t="shared" si="1"/>
        <v>3</v>
      </c>
      <c r="AI8">
        <f t="shared" si="2"/>
        <v>5</v>
      </c>
      <c r="AJ8">
        <f t="shared" si="3"/>
        <v>1</v>
      </c>
    </row>
    <row r="9" spans="1:36">
      <c r="A9" t="s">
        <v>155</v>
      </c>
      <c r="B9" t="s">
        <v>90</v>
      </c>
      <c r="C9">
        <v>1</v>
      </c>
      <c r="D9">
        <v>1</v>
      </c>
      <c r="E9">
        <v>0</v>
      </c>
      <c r="F9">
        <v>1</v>
      </c>
      <c r="G9">
        <v>1</v>
      </c>
      <c r="H9">
        <v>0</v>
      </c>
      <c r="I9">
        <v>0</v>
      </c>
      <c r="J9">
        <v>1</v>
      </c>
      <c r="K9">
        <v>1</v>
      </c>
      <c r="L9">
        <v>0</v>
      </c>
      <c r="M9">
        <v>0</v>
      </c>
      <c r="N9">
        <v>0</v>
      </c>
      <c r="O9">
        <v>0</v>
      </c>
      <c r="P9">
        <v>1</v>
      </c>
      <c r="Q9">
        <v>0</v>
      </c>
      <c r="R9">
        <v>0</v>
      </c>
      <c r="S9">
        <v>0</v>
      </c>
      <c r="T9">
        <v>0</v>
      </c>
      <c r="U9">
        <v>1</v>
      </c>
      <c r="V9">
        <v>0</v>
      </c>
      <c r="W9">
        <v>1</v>
      </c>
      <c r="X9">
        <v>0</v>
      </c>
      <c r="Y9">
        <v>0</v>
      </c>
      <c r="Z9">
        <v>1</v>
      </c>
      <c r="AA9">
        <v>1</v>
      </c>
      <c r="AB9">
        <v>1</v>
      </c>
      <c r="AC9">
        <v>0</v>
      </c>
      <c r="AD9">
        <v>1</v>
      </c>
      <c r="AE9">
        <v>0</v>
      </c>
      <c r="AF9">
        <v>1</v>
      </c>
      <c r="AG9">
        <f t="shared" si="0"/>
        <v>14</v>
      </c>
      <c r="AH9">
        <f t="shared" si="1"/>
        <v>6</v>
      </c>
      <c r="AI9">
        <f t="shared" si="2"/>
        <v>2</v>
      </c>
      <c r="AJ9">
        <f t="shared" si="3"/>
        <v>6</v>
      </c>
    </row>
    <row r="10" spans="1:36">
      <c r="A10" t="s">
        <v>156</v>
      </c>
      <c r="B10" t="s">
        <v>90</v>
      </c>
      <c r="C10">
        <v>0</v>
      </c>
      <c r="D10">
        <v>1</v>
      </c>
      <c r="E10">
        <v>0</v>
      </c>
      <c r="F10">
        <v>1</v>
      </c>
      <c r="G10">
        <v>1</v>
      </c>
      <c r="H10">
        <v>0</v>
      </c>
      <c r="I10">
        <v>1</v>
      </c>
      <c r="J10">
        <v>0</v>
      </c>
      <c r="K10">
        <v>0</v>
      </c>
      <c r="L10">
        <v>0</v>
      </c>
      <c r="M10">
        <v>0</v>
      </c>
      <c r="N10">
        <v>0</v>
      </c>
      <c r="O10">
        <v>0</v>
      </c>
      <c r="P10">
        <v>0</v>
      </c>
      <c r="Q10">
        <v>0</v>
      </c>
      <c r="R10">
        <v>1</v>
      </c>
      <c r="S10">
        <v>0</v>
      </c>
      <c r="T10">
        <v>0</v>
      </c>
      <c r="U10">
        <v>0</v>
      </c>
      <c r="V10">
        <v>0</v>
      </c>
      <c r="W10">
        <v>0</v>
      </c>
      <c r="X10">
        <v>1</v>
      </c>
      <c r="Y10">
        <v>0</v>
      </c>
      <c r="Z10">
        <v>0</v>
      </c>
      <c r="AA10">
        <v>1</v>
      </c>
      <c r="AB10">
        <v>0</v>
      </c>
      <c r="AC10">
        <v>1</v>
      </c>
      <c r="AD10">
        <v>1</v>
      </c>
      <c r="AE10">
        <v>0</v>
      </c>
      <c r="AF10">
        <v>1</v>
      </c>
      <c r="AG10">
        <f t="shared" si="0"/>
        <v>10</v>
      </c>
      <c r="AH10">
        <f t="shared" si="1"/>
        <v>4</v>
      </c>
      <c r="AI10">
        <f t="shared" si="2"/>
        <v>1</v>
      </c>
      <c r="AJ10">
        <f t="shared" si="3"/>
        <v>5</v>
      </c>
    </row>
    <row r="11" spans="1:36">
      <c r="A11" t="s">
        <v>157</v>
      </c>
      <c r="B11" t="s">
        <v>90</v>
      </c>
      <c r="C11">
        <v>0</v>
      </c>
      <c r="D11">
        <v>1</v>
      </c>
      <c r="E11">
        <v>1</v>
      </c>
      <c r="F11">
        <v>0</v>
      </c>
      <c r="G11">
        <v>0</v>
      </c>
      <c r="H11">
        <v>1</v>
      </c>
      <c r="I11">
        <v>1</v>
      </c>
      <c r="J11">
        <v>1</v>
      </c>
      <c r="K11">
        <v>0</v>
      </c>
      <c r="L11">
        <v>0</v>
      </c>
      <c r="M11">
        <v>1</v>
      </c>
      <c r="N11">
        <v>0</v>
      </c>
      <c r="O11">
        <v>0</v>
      </c>
      <c r="P11">
        <v>1</v>
      </c>
      <c r="Q11">
        <v>0</v>
      </c>
      <c r="R11">
        <v>0</v>
      </c>
      <c r="S11">
        <v>1</v>
      </c>
      <c r="T11">
        <v>0</v>
      </c>
      <c r="U11">
        <v>0</v>
      </c>
      <c r="V11">
        <v>0</v>
      </c>
      <c r="W11">
        <v>1</v>
      </c>
      <c r="X11">
        <v>0</v>
      </c>
      <c r="Y11">
        <v>0</v>
      </c>
      <c r="Z11">
        <v>1</v>
      </c>
      <c r="AA11">
        <v>1</v>
      </c>
      <c r="AB11">
        <v>0</v>
      </c>
      <c r="AC11">
        <v>0</v>
      </c>
      <c r="AD11">
        <v>0</v>
      </c>
      <c r="AE11">
        <v>1</v>
      </c>
      <c r="AF11">
        <v>1</v>
      </c>
      <c r="AG11">
        <f t="shared" si="0"/>
        <v>13</v>
      </c>
      <c r="AH11">
        <f t="shared" si="1"/>
        <v>5</v>
      </c>
      <c r="AI11">
        <f t="shared" si="2"/>
        <v>3</v>
      </c>
      <c r="AJ11">
        <f t="shared" si="3"/>
        <v>5</v>
      </c>
    </row>
    <row r="12" spans="1:36">
      <c r="A12" t="s">
        <v>158</v>
      </c>
      <c r="B12" t="s">
        <v>91</v>
      </c>
      <c r="C12">
        <v>1</v>
      </c>
      <c r="D12">
        <v>0</v>
      </c>
      <c r="E12">
        <v>0</v>
      </c>
      <c r="F12">
        <v>1</v>
      </c>
      <c r="G12">
        <v>0</v>
      </c>
      <c r="H12">
        <v>0</v>
      </c>
      <c r="I12">
        <v>1</v>
      </c>
      <c r="J12">
        <v>0</v>
      </c>
      <c r="K12">
        <v>0</v>
      </c>
      <c r="L12">
        <v>0</v>
      </c>
      <c r="M12">
        <v>1</v>
      </c>
      <c r="N12">
        <v>0</v>
      </c>
      <c r="O12">
        <v>1</v>
      </c>
      <c r="P12">
        <v>1</v>
      </c>
      <c r="Q12">
        <v>0</v>
      </c>
      <c r="R12">
        <v>1</v>
      </c>
      <c r="S12">
        <v>0</v>
      </c>
      <c r="T12">
        <v>0</v>
      </c>
      <c r="U12">
        <v>1</v>
      </c>
      <c r="V12">
        <v>1</v>
      </c>
      <c r="W12">
        <v>0</v>
      </c>
      <c r="X12">
        <v>0</v>
      </c>
      <c r="Y12">
        <v>1</v>
      </c>
      <c r="Z12">
        <v>1</v>
      </c>
      <c r="AA12">
        <v>0</v>
      </c>
      <c r="AB12">
        <v>1</v>
      </c>
      <c r="AC12">
        <v>1</v>
      </c>
      <c r="AD12">
        <v>0</v>
      </c>
      <c r="AE12">
        <v>1</v>
      </c>
      <c r="AF12">
        <v>1</v>
      </c>
      <c r="AG12">
        <f t="shared" si="0"/>
        <v>15</v>
      </c>
      <c r="AH12">
        <f t="shared" si="1"/>
        <v>3</v>
      </c>
      <c r="AI12">
        <f t="shared" si="2"/>
        <v>6</v>
      </c>
      <c r="AJ12">
        <f t="shared" si="3"/>
        <v>6</v>
      </c>
    </row>
    <row r="13" spans="1:36">
      <c r="A13" t="s">
        <v>159</v>
      </c>
      <c r="B13" t="s">
        <v>91</v>
      </c>
      <c r="C13">
        <v>1</v>
      </c>
      <c r="D13">
        <v>0</v>
      </c>
      <c r="E13">
        <v>1</v>
      </c>
      <c r="F13">
        <v>0</v>
      </c>
      <c r="G13">
        <v>1</v>
      </c>
      <c r="H13">
        <v>1</v>
      </c>
      <c r="I13">
        <v>1</v>
      </c>
      <c r="J13">
        <v>0</v>
      </c>
      <c r="K13">
        <v>0</v>
      </c>
      <c r="L13">
        <v>1</v>
      </c>
      <c r="M13">
        <v>0</v>
      </c>
      <c r="N13">
        <v>1</v>
      </c>
      <c r="O13">
        <v>0</v>
      </c>
      <c r="P13">
        <v>0</v>
      </c>
      <c r="Q13">
        <v>1</v>
      </c>
      <c r="R13">
        <v>0</v>
      </c>
      <c r="S13">
        <v>1</v>
      </c>
      <c r="T13">
        <v>0</v>
      </c>
      <c r="U13">
        <v>1</v>
      </c>
      <c r="V13">
        <v>0</v>
      </c>
      <c r="W13">
        <v>0</v>
      </c>
      <c r="X13">
        <v>1</v>
      </c>
      <c r="Y13">
        <v>1</v>
      </c>
      <c r="Z13">
        <v>1</v>
      </c>
      <c r="AA13">
        <v>0</v>
      </c>
      <c r="AB13">
        <v>1</v>
      </c>
      <c r="AC13">
        <v>0</v>
      </c>
      <c r="AD13">
        <v>0</v>
      </c>
      <c r="AE13">
        <v>1</v>
      </c>
      <c r="AF13">
        <v>0</v>
      </c>
      <c r="AG13">
        <f t="shared" si="0"/>
        <v>15</v>
      </c>
      <c r="AH13">
        <f t="shared" si="1"/>
        <v>6</v>
      </c>
      <c r="AI13">
        <f t="shared" si="2"/>
        <v>4</v>
      </c>
      <c r="AJ13">
        <f t="shared" si="3"/>
        <v>5</v>
      </c>
    </row>
    <row r="14" spans="1:36">
      <c r="A14" t="s">
        <v>160</v>
      </c>
      <c r="B14" t="s">
        <v>91</v>
      </c>
      <c r="C14">
        <v>1</v>
      </c>
      <c r="D14">
        <v>1</v>
      </c>
      <c r="E14">
        <v>0</v>
      </c>
      <c r="F14">
        <v>1</v>
      </c>
      <c r="G14">
        <v>0</v>
      </c>
      <c r="H14">
        <v>0</v>
      </c>
      <c r="I14">
        <v>0</v>
      </c>
      <c r="J14">
        <v>1</v>
      </c>
      <c r="K14">
        <v>1</v>
      </c>
      <c r="L14">
        <v>0</v>
      </c>
      <c r="M14">
        <v>1</v>
      </c>
      <c r="N14">
        <v>0</v>
      </c>
      <c r="O14">
        <v>0</v>
      </c>
      <c r="P14">
        <v>1</v>
      </c>
      <c r="Q14">
        <v>0</v>
      </c>
      <c r="R14">
        <v>0</v>
      </c>
      <c r="S14">
        <v>1</v>
      </c>
      <c r="T14">
        <v>0</v>
      </c>
      <c r="U14">
        <v>0</v>
      </c>
      <c r="V14">
        <v>1</v>
      </c>
      <c r="W14">
        <v>0</v>
      </c>
      <c r="X14">
        <v>1</v>
      </c>
      <c r="Y14">
        <v>0</v>
      </c>
      <c r="Z14">
        <v>0</v>
      </c>
      <c r="AA14">
        <v>0</v>
      </c>
      <c r="AB14">
        <v>1</v>
      </c>
      <c r="AC14">
        <v>1</v>
      </c>
      <c r="AD14">
        <v>1</v>
      </c>
      <c r="AE14">
        <v>1</v>
      </c>
      <c r="AF14">
        <v>1</v>
      </c>
      <c r="AG14">
        <f t="shared" si="0"/>
        <v>15</v>
      </c>
      <c r="AH14">
        <f t="shared" si="1"/>
        <v>5</v>
      </c>
      <c r="AI14">
        <f t="shared" si="2"/>
        <v>4</v>
      </c>
      <c r="AJ14">
        <f t="shared" si="3"/>
        <v>6</v>
      </c>
    </row>
    <row r="15" spans="1:36">
      <c r="A15" t="s">
        <v>161</v>
      </c>
      <c r="B15" t="s">
        <v>91</v>
      </c>
      <c r="C15">
        <v>0</v>
      </c>
      <c r="D15">
        <v>0</v>
      </c>
      <c r="E15">
        <v>1</v>
      </c>
      <c r="F15">
        <v>1</v>
      </c>
      <c r="G15">
        <v>0</v>
      </c>
      <c r="H15">
        <v>1</v>
      </c>
      <c r="I15">
        <v>0</v>
      </c>
      <c r="J15">
        <v>1</v>
      </c>
      <c r="K15">
        <v>0</v>
      </c>
      <c r="L15">
        <v>1</v>
      </c>
      <c r="M15">
        <v>1</v>
      </c>
      <c r="N15">
        <v>0</v>
      </c>
      <c r="O15">
        <v>0</v>
      </c>
      <c r="P15">
        <v>1</v>
      </c>
      <c r="Q15">
        <v>1</v>
      </c>
      <c r="R15">
        <v>0</v>
      </c>
      <c r="S15">
        <v>1</v>
      </c>
      <c r="T15">
        <v>1</v>
      </c>
      <c r="U15">
        <v>1</v>
      </c>
      <c r="V15">
        <v>0</v>
      </c>
      <c r="W15">
        <v>1</v>
      </c>
      <c r="X15">
        <v>0</v>
      </c>
      <c r="Y15">
        <v>0</v>
      </c>
      <c r="Z15">
        <v>0</v>
      </c>
      <c r="AA15">
        <v>1</v>
      </c>
      <c r="AB15">
        <v>0</v>
      </c>
      <c r="AC15">
        <v>0</v>
      </c>
      <c r="AD15">
        <v>0</v>
      </c>
      <c r="AE15">
        <v>0</v>
      </c>
      <c r="AF15">
        <v>1</v>
      </c>
      <c r="AG15">
        <f t="shared" si="0"/>
        <v>14</v>
      </c>
      <c r="AH15">
        <f t="shared" si="1"/>
        <v>5</v>
      </c>
      <c r="AI15">
        <f t="shared" si="2"/>
        <v>6</v>
      </c>
      <c r="AJ15">
        <f t="shared" si="3"/>
        <v>3</v>
      </c>
    </row>
    <row r="16" spans="1:36">
      <c r="A16" t="s">
        <v>162</v>
      </c>
      <c r="B16" t="s">
        <v>91</v>
      </c>
      <c r="C16">
        <v>1</v>
      </c>
      <c r="D16">
        <v>0</v>
      </c>
      <c r="E16">
        <v>0</v>
      </c>
      <c r="F16">
        <v>1</v>
      </c>
      <c r="G16">
        <v>0</v>
      </c>
      <c r="H16">
        <v>0</v>
      </c>
      <c r="I16">
        <v>0</v>
      </c>
      <c r="J16">
        <v>1</v>
      </c>
      <c r="K16">
        <v>0</v>
      </c>
      <c r="L16">
        <v>0</v>
      </c>
      <c r="M16">
        <v>1</v>
      </c>
      <c r="N16">
        <v>1</v>
      </c>
      <c r="O16">
        <v>1</v>
      </c>
      <c r="P16">
        <v>0</v>
      </c>
      <c r="Q16">
        <v>0</v>
      </c>
      <c r="R16">
        <v>0</v>
      </c>
      <c r="S16">
        <v>1</v>
      </c>
      <c r="T16">
        <v>1</v>
      </c>
      <c r="U16">
        <v>1</v>
      </c>
      <c r="V16">
        <v>1</v>
      </c>
      <c r="W16">
        <v>0</v>
      </c>
      <c r="X16">
        <v>0</v>
      </c>
      <c r="Y16">
        <v>0</v>
      </c>
      <c r="Z16">
        <v>0</v>
      </c>
      <c r="AA16">
        <v>0</v>
      </c>
      <c r="AB16">
        <v>0</v>
      </c>
      <c r="AC16">
        <v>0</v>
      </c>
      <c r="AD16">
        <v>0</v>
      </c>
      <c r="AE16">
        <v>0</v>
      </c>
      <c r="AF16">
        <v>1</v>
      </c>
      <c r="AG16">
        <f t="shared" si="0"/>
        <v>11</v>
      </c>
      <c r="AH16">
        <f t="shared" si="1"/>
        <v>3</v>
      </c>
      <c r="AI16">
        <f t="shared" si="2"/>
        <v>7</v>
      </c>
      <c r="AJ16">
        <f t="shared" si="3"/>
        <v>1</v>
      </c>
    </row>
    <row r="17" spans="1:36">
      <c r="A17" t="s">
        <v>163</v>
      </c>
      <c r="B17" t="s">
        <v>91</v>
      </c>
      <c r="C17">
        <v>0</v>
      </c>
      <c r="D17">
        <v>0</v>
      </c>
      <c r="E17">
        <v>0</v>
      </c>
      <c r="F17">
        <v>0</v>
      </c>
      <c r="G17">
        <v>1</v>
      </c>
      <c r="H17">
        <v>1</v>
      </c>
      <c r="I17">
        <v>0</v>
      </c>
      <c r="J17">
        <v>1</v>
      </c>
      <c r="K17">
        <v>0</v>
      </c>
      <c r="L17">
        <v>0</v>
      </c>
      <c r="M17">
        <v>0</v>
      </c>
      <c r="N17">
        <v>0</v>
      </c>
      <c r="O17">
        <v>1</v>
      </c>
      <c r="P17">
        <v>1</v>
      </c>
      <c r="Q17">
        <v>1</v>
      </c>
      <c r="R17">
        <v>1</v>
      </c>
      <c r="S17">
        <v>0</v>
      </c>
      <c r="T17">
        <v>1</v>
      </c>
      <c r="U17">
        <v>0</v>
      </c>
      <c r="V17">
        <v>1</v>
      </c>
      <c r="W17">
        <v>0</v>
      </c>
      <c r="X17">
        <v>1</v>
      </c>
      <c r="Y17">
        <v>0</v>
      </c>
      <c r="Z17">
        <v>0</v>
      </c>
      <c r="AA17">
        <v>1</v>
      </c>
      <c r="AB17">
        <v>0</v>
      </c>
      <c r="AC17">
        <v>0</v>
      </c>
      <c r="AD17">
        <v>1</v>
      </c>
      <c r="AE17">
        <v>0</v>
      </c>
      <c r="AF17">
        <v>0</v>
      </c>
      <c r="AG17">
        <f t="shared" si="0"/>
        <v>12</v>
      </c>
      <c r="AH17">
        <f t="shared" si="1"/>
        <v>3</v>
      </c>
      <c r="AI17">
        <f t="shared" si="2"/>
        <v>6</v>
      </c>
      <c r="AJ17">
        <f t="shared" si="3"/>
        <v>3</v>
      </c>
    </row>
    <row r="18" spans="1:36">
      <c r="A18" t="s">
        <v>164</v>
      </c>
      <c r="B18" t="s">
        <v>91</v>
      </c>
      <c r="C18">
        <v>1</v>
      </c>
      <c r="D18">
        <v>0</v>
      </c>
      <c r="E18">
        <v>0</v>
      </c>
      <c r="F18">
        <v>0</v>
      </c>
      <c r="G18">
        <v>0</v>
      </c>
      <c r="H18">
        <v>0</v>
      </c>
      <c r="I18">
        <v>0</v>
      </c>
      <c r="J18">
        <v>0</v>
      </c>
      <c r="K18">
        <v>0</v>
      </c>
      <c r="L18">
        <v>0</v>
      </c>
      <c r="M18">
        <v>0</v>
      </c>
      <c r="N18">
        <v>1</v>
      </c>
      <c r="O18">
        <v>1</v>
      </c>
      <c r="P18">
        <v>0</v>
      </c>
      <c r="Q18">
        <v>0</v>
      </c>
      <c r="R18">
        <v>1</v>
      </c>
      <c r="S18">
        <v>1</v>
      </c>
      <c r="T18">
        <v>0</v>
      </c>
      <c r="U18">
        <v>0</v>
      </c>
      <c r="V18">
        <v>1</v>
      </c>
      <c r="W18">
        <v>0</v>
      </c>
      <c r="X18">
        <v>0</v>
      </c>
      <c r="Y18">
        <v>0</v>
      </c>
      <c r="Z18">
        <v>0</v>
      </c>
      <c r="AA18">
        <v>0</v>
      </c>
      <c r="AB18">
        <v>1</v>
      </c>
      <c r="AC18">
        <v>0</v>
      </c>
      <c r="AD18">
        <v>1</v>
      </c>
      <c r="AE18">
        <v>1</v>
      </c>
      <c r="AF18">
        <v>1</v>
      </c>
      <c r="AG18">
        <f t="shared" si="0"/>
        <v>10</v>
      </c>
      <c r="AH18">
        <f t="shared" si="1"/>
        <v>1</v>
      </c>
      <c r="AI18">
        <f t="shared" si="2"/>
        <v>5</v>
      </c>
      <c r="AJ18">
        <f t="shared" si="3"/>
        <v>4</v>
      </c>
    </row>
    <row r="19" spans="1:36">
      <c r="A19" t="s">
        <v>165</v>
      </c>
      <c r="B19" t="s">
        <v>91</v>
      </c>
      <c r="C19">
        <v>1</v>
      </c>
      <c r="D19">
        <v>1</v>
      </c>
      <c r="E19">
        <v>0</v>
      </c>
      <c r="F19">
        <v>1</v>
      </c>
      <c r="G19">
        <v>1</v>
      </c>
      <c r="H19">
        <v>0</v>
      </c>
      <c r="I19">
        <v>1</v>
      </c>
      <c r="J19">
        <v>1</v>
      </c>
      <c r="K19">
        <v>0</v>
      </c>
      <c r="L19">
        <v>0</v>
      </c>
      <c r="M19">
        <v>1</v>
      </c>
      <c r="N19">
        <v>0</v>
      </c>
      <c r="O19">
        <v>0</v>
      </c>
      <c r="P19">
        <v>0</v>
      </c>
      <c r="Q19">
        <v>0</v>
      </c>
      <c r="R19">
        <v>1</v>
      </c>
      <c r="S19">
        <v>0</v>
      </c>
      <c r="T19">
        <v>0</v>
      </c>
      <c r="U19">
        <v>0</v>
      </c>
      <c r="V19">
        <v>1</v>
      </c>
      <c r="W19">
        <v>1</v>
      </c>
      <c r="X19">
        <v>1</v>
      </c>
      <c r="Y19">
        <v>1</v>
      </c>
      <c r="Z19">
        <v>0</v>
      </c>
      <c r="AA19">
        <v>0</v>
      </c>
      <c r="AB19">
        <v>1</v>
      </c>
      <c r="AC19">
        <v>1</v>
      </c>
      <c r="AD19">
        <v>0</v>
      </c>
      <c r="AE19">
        <v>1</v>
      </c>
      <c r="AF19">
        <v>0</v>
      </c>
      <c r="AG19">
        <f t="shared" si="0"/>
        <v>15</v>
      </c>
      <c r="AH19">
        <f t="shared" si="1"/>
        <v>6</v>
      </c>
      <c r="AI19">
        <f t="shared" si="2"/>
        <v>3</v>
      </c>
      <c r="AJ19">
        <f t="shared" si="3"/>
        <v>6</v>
      </c>
    </row>
    <row r="20" spans="1:36">
      <c r="A20" t="s">
        <v>166</v>
      </c>
      <c r="B20" t="s">
        <v>92</v>
      </c>
      <c r="C20">
        <v>0</v>
      </c>
      <c r="D20">
        <v>0</v>
      </c>
      <c r="E20">
        <v>0</v>
      </c>
      <c r="F20">
        <v>0</v>
      </c>
      <c r="G20">
        <v>0</v>
      </c>
      <c r="H20">
        <v>1</v>
      </c>
      <c r="I20">
        <v>0</v>
      </c>
      <c r="J20">
        <v>0</v>
      </c>
      <c r="K20">
        <v>0</v>
      </c>
      <c r="L20">
        <v>0</v>
      </c>
      <c r="M20">
        <v>0</v>
      </c>
      <c r="N20">
        <v>1</v>
      </c>
      <c r="O20">
        <v>0</v>
      </c>
      <c r="P20">
        <v>0</v>
      </c>
      <c r="Q20">
        <v>0</v>
      </c>
      <c r="R20">
        <v>1</v>
      </c>
      <c r="S20">
        <v>0</v>
      </c>
      <c r="T20">
        <v>0</v>
      </c>
      <c r="U20">
        <v>0</v>
      </c>
      <c r="V20">
        <v>0</v>
      </c>
      <c r="W20">
        <v>1</v>
      </c>
      <c r="X20">
        <v>1</v>
      </c>
      <c r="Y20">
        <v>1</v>
      </c>
      <c r="Z20">
        <v>0</v>
      </c>
      <c r="AA20">
        <v>0</v>
      </c>
      <c r="AB20">
        <v>1</v>
      </c>
      <c r="AC20">
        <v>0</v>
      </c>
      <c r="AD20">
        <v>0</v>
      </c>
      <c r="AE20">
        <v>1</v>
      </c>
      <c r="AF20">
        <v>0</v>
      </c>
      <c r="AG20">
        <f t="shared" si="0"/>
        <v>8</v>
      </c>
      <c r="AH20">
        <f t="shared" si="1"/>
        <v>1</v>
      </c>
      <c r="AI20">
        <f t="shared" si="2"/>
        <v>2</v>
      </c>
      <c r="AJ20">
        <f t="shared" si="3"/>
        <v>5</v>
      </c>
    </row>
    <row r="21" spans="1:36">
      <c r="A21" t="s">
        <v>167</v>
      </c>
      <c r="B21" t="s">
        <v>92</v>
      </c>
      <c r="C21">
        <v>1</v>
      </c>
      <c r="D21">
        <v>1</v>
      </c>
      <c r="E21">
        <v>1</v>
      </c>
      <c r="F21">
        <v>1</v>
      </c>
      <c r="G21">
        <v>0</v>
      </c>
      <c r="H21">
        <v>0</v>
      </c>
      <c r="I21">
        <v>0</v>
      </c>
      <c r="J21">
        <v>0</v>
      </c>
      <c r="K21">
        <v>0</v>
      </c>
      <c r="L21">
        <v>1</v>
      </c>
      <c r="M21">
        <v>1</v>
      </c>
      <c r="N21">
        <v>1</v>
      </c>
      <c r="O21">
        <v>0</v>
      </c>
      <c r="P21">
        <v>0</v>
      </c>
      <c r="Q21">
        <v>0</v>
      </c>
      <c r="R21">
        <v>0</v>
      </c>
      <c r="S21">
        <v>0</v>
      </c>
      <c r="T21">
        <v>0</v>
      </c>
      <c r="U21">
        <v>0</v>
      </c>
      <c r="V21">
        <v>0</v>
      </c>
      <c r="W21">
        <v>0</v>
      </c>
      <c r="X21">
        <v>1</v>
      </c>
      <c r="Y21">
        <v>1</v>
      </c>
      <c r="Z21">
        <v>0</v>
      </c>
      <c r="AA21">
        <v>0</v>
      </c>
      <c r="AB21">
        <v>0</v>
      </c>
      <c r="AC21">
        <v>1</v>
      </c>
      <c r="AD21">
        <v>0</v>
      </c>
      <c r="AE21">
        <v>1</v>
      </c>
      <c r="AF21">
        <v>1</v>
      </c>
      <c r="AG21">
        <f t="shared" si="0"/>
        <v>12</v>
      </c>
      <c r="AH21">
        <f t="shared" si="1"/>
        <v>5</v>
      </c>
      <c r="AI21">
        <f t="shared" si="2"/>
        <v>2</v>
      </c>
      <c r="AJ21">
        <f t="shared" si="3"/>
        <v>5</v>
      </c>
    </row>
    <row r="22" spans="1:36">
      <c r="A22" t="s">
        <v>168</v>
      </c>
      <c r="B22" t="s">
        <v>92</v>
      </c>
      <c r="C22">
        <v>1</v>
      </c>
      <c r="D22">
        <v>0</v>
      </c>
      <c r="E22">
        <v>0</v>
      </c>
      <c r="F22">
        <v>1</v>
      </c>
      <c r="G22">
        <v>0</v>
      </c>
      <c r="H22">
        <v>0</v>
      </c>
      <c r="I22">
        <v>0</v>
      </c>
      <c r="J22">
        <v>1</v>
      </c>
      <c r="K22">
        <v>1</v>
      </c>
      <c r="L22">
        <v>0</v>
      </c>
      <c r="M22">
        <v>1</v>
      </c>
      <c r="N22">
        <v>1</v>
      </c>
      <c r="O22">
        <v>0</v>
      </c>
      <c r="P22">
        <v>0</v>
      </c>
      <c r="Q22">
        <v>1</v>
      </c>
      <c r="R22">
        <v>0</v>
      </c>
      <c r="S22">
        <v>1</v>
      </c>
      <c r="T22">
        <v>0</v>
      </c>
      <c r="U22">
        <v>0</v>
      </c>
      <c r="V22">
        <v>1</v>
      </c>
      <c r="W22">
        <v>0</v>
      </c>
      <c r="X22">
        <v>0</v>
      </c>
      <c r="Y22">
        <v>0</v>
      </c>
      <c r="Z22">
        <v>1</v>
      </c>
      <c r="AA22">
        <v>0</v>
      </c>
      <c r="AB22">
        <v>0</v>
      </c>
      <c r="AC22">
        <v>1</v>
      </c>
      <c r="AD22">
        <v>1</v>
      </c>
      <c r="AE22">
        <v>0</v>
      </c>
      <c r="AF22">
        <v>0</v>
      </c>
      <c r="AG22">
        <f t="shared" si="0"/>
        <v>12</v>
      </c>
      <c r="AH22">
        <f t="shared" si="1"/>
        <v>4</v>
      </c>
      <c r="AI22">
        <f t="shared" si="2"/>
        <v>5</v>
      </c>
      <c r="AJ22">
        <f t="shared" si="3"/>
        <v>3</v>
      </c>
    </row>
    <row r="23" spans="1:36">
      <c r="A23" t="s">
        <v>169</v>
      </c>
      <c r="B23" t="s">
        <v>92</v>
      </c>
      <c r="C23">
        <v>0</v>
      </c>
      <c r="D23">
        <v>1</v>
      </c>
      <c r="E23">
        <v>1</v>
      </c>
      <c r="F23">
        <v>0</v>
      </c>
      <c r="G23">
        <v>1</v>
      </c>
      <c r="H23">
        <v>0</v>
      </c>
      <c r="I23">
        <v>1</v>
      </c>
      <c r="J23">
        <v>0</v>
      </c>
      <c r="K23">
        <v>0</v>
      </c>
      <c r="L23">
        <v>0</v>
      </c>
      <c r="M23">
        <v>0</v>
      </c>
      <c r="N23">
        <v>1</v>
      </c>
      <c r="O23">
        <v>1</v>
      </c>
      <c r="P23">
        <v>1</v>
      </c>
      <c r="Q23">
        <v>0</v>
      </c>
      <c r="R23">
        <v>0</v>
      </c>
      <c r="S23">
        <v>0</v>
      </c>
      <c r="T23">
        <v>0</v>
      </c>
      <c r="U23">
        <v>0</v>
      </c>
      <c r="V23">
        <v>0</v>
      </c>
      <c r="W23">
        <v>0</v>
      </c>
      <c r="X23">
        <v>0</v>
      </c>
      <c r="Y23">
        <v>0</v>
      </c>
      <c r="Z23">
        <v>1</v>
      </c>
      <c r="AA23">
        <v>0</v>
      </c>
      <c r="AB23">
        <v>0</v>
      </c>
      <c r="AC23">
        <v>1</v>
      </c>
      <c r="AD23">
        <v>0</v>
      </c>
      <c r="AE23">
        <v>0</v>
      </c>
      <c r="AF23">
        <v>1</v>
      </c>
      <c r="AG23">
        <f t="shared" si="0"/>
        <v>10</v>
      </c>
      <c r="AH23">
        <f t="shared" si="1"/>
        <v>4</v>
      </c>
      <c r="AI23">
        <f t="shared" si="2"/>
        <v>3</v>
      </c>
      <c r="AJ23">
        <f t="shared" si="3"/>
        <v>3</v>
      </c>
    </row>
    <row r="24" spans="1:36">
      <c r="A24" t="s">
        <v>170</v>
      </c>
      <c r="B24" t="s">
        <v>92</v>
      </c>
      <c r="C24">
        <v>1</v>
      </c>
      <c r="D24">
        <v>0</v>
      </c>
      <c r="E24">
        <v>1</v>
      </c>
      <c r="F24">
        <v>0</v>
      </c>
      <c r="G24">
        <v>0</v>
      </c>
      <c r="H24">
        <v>1</v>
      </c>
      <c r="I24">
        <v>0</v>
      </c>
      <c r="J24">
        <v>0</v>
      </c>
      <c r="K24">
        <v>1</v>
      </c>
      <c r="L24">
        <v>1</v>
      </c>
      <c r="M24">
        <v>0</v>
      </c>
      <c r="N24">
        <v>0</v>
      </c>
      <c r="O24">
        <v>1</v>
      </c>
      <c r="P24">
        <v>0</v>
      </c>
      <c r="Q24">
        <v>0</v>
      </c>
      <c r="R24">
        <v>1</v>
      </c>
      <c r="S24">
        <v>1</v>
      </c>
      <c r="T24">
        <v>1</v>
      </c>
      <c r="U24">
        <v>0</v>
      </c>
      <c r="V24">
        <v>0</v>
      </c>
      <c r="W24">
        <v>1</v>
      </c>
      <c r="X24">
        <v>1</v>
      </c>
      <c r="Y24">
        <v>1</v>
      </c>
      <c r="Z24">
        <v>1</v>
      </c>
      <c r="AA24">
        <v>0</v>
      </c>
      <c r="AB24">
        <v>0</v>
      </c>
      <c r="AC24">
        <v>0</v>
      </c>
      <c r="AD24">
        <v>0</v>
      </c>
      <c r="AE24">
        <v>0</v>
      </c>
      <c r="AF24">
        <v>1</v>
      </c>
      <c r="AG24">
        <f t="shared" si="0"/>
        <v>14</v>
      </c>
      <c r="AH24">
        <f t="shared" si="1"/>
        <v>5</v>
      </c>
      <c r="AI24">
        <f t="shared" si="2"/>
        <v>4</v>
      </c>
      <c r="AJ24">
        <f t="shared" si="3"/>
        <v>5</v>
      </c>
    </row>
    <row r="25" spans="1:36">
      <c r="A25" t="s">
        <v>171</v>
      </c>
      <c r="B25" t="s">
        <v>92</v>
      </c>
      <c r="C25">
        <v>1</v>
      </c>
      <c r="D25">
        <v>1</v>
      </c>
      <c r="E25">
        <v>1</v>
      </c>
      <c r="F25">
        <v>1</v>
      </c>
      <c r="G25">
        <v>0</v>
      </c>
      <c r="H25">
        <v>0</v>
      </c>
      <c r="I25">
        <v>1</v>
      </c>
      <c r="J25">
        <v>1</v>
      </c>
      <c r="K25">
        <v>0</v>
      </c>
      <c r="L25">
        <v>1</v>
      </c>
      <c r="M25">
        <v>1</v>
      </c>
      <c r="N25">
        <v>0</v>
      </c>
      <c r="O25">
        <v>1</v>
      </c>
      <c r="P25">
        <v>0</v>
      </c>
      <c r="Q25">
        <v>0</v>
      </c>
      <c r="R25">
        <v>0</v>
      </c>
      <c r="S25">
        <v>0</v>
      </c>
      <c r="T25">
        <v>0</v>
      </c>
      <c r="U25">
        <v>0</v>
      </c>
      <c r="V25">
        <v>0</v>
      </c>
      <c r="W25">
        <v>0</v>
      </c>
      <c r="X25">
        <v>0</v>
      </c>
      <c r="Y25">
        <v>0</v>
      </c>
      <c r="Z25">
        <v>0</v>
      </c>
      <c r="AA25">
        <v>1</v>
      </c>
      <c r="AB25">
        <v>0</v>
      </c>
      <c r="AC25">
        <v>0</v>
      </c>
      <c r="AD25">
        <v>0</v>
      </c>
      <c r="AE25">
        <v>0</v>
      </c>
      <c r="AF25">
        <v>0</v>
      </c>
      <c r="AG25">
        <f t="shared" si="0"/>
        <v>10</v>
      </c>
      <c r="AH25">
        <f t="shared" si="1"/>
        <v>7</v>
      </c>
      <c r="AI25">
        <f t="shared" si="2"/>
        <v>2</v>
      </c>
      <c r="AJ25">
        <f t="shared" si="3"/>
        <v>1</v>
      </c>
    </row>
    <row r="26" spans="1:36">
      <c r="A26" t="s">
        <v>172</v>
      </c>
      <c r="B26" t="s">
        <v>92</v>
      </c>
      <c r="C26">
        <v>0</v>
      </c>
      <c r="D26">
        <v>0</v>
      </c>
      <c r="E26">
        <v>0</v>
      </c>
      <c r="F26">
        <v>1</v>
      </c>
      <c r="G26">
        <v>1</v>
      </c>
      <c r="H26">
        <v>1</v>
      </c>
      <c r="I26">
        <v>1</v>
      </c>
      <c r="J26">
        <v>0</v>
      </c>
      <c r="K26">
        <v>1</v>
      </c>
      <c r="L26">
        <v>1</v>
      </c>
      <c r="M26">
        <v>1</v>
      </c>
      <c r="N26">
        <v>1</v>
      </c>
      <c r="O26">
        <v>1</v>
      </c>
      <c r="P26">
        <v>0</v>
      </c>
      <c r="Q26">
        <v>0</v>
      </c>
      <c r="R26">
        <v>0</v>
      </c>
      <c r="S26">
        <v>0</v>
      </c>
      <c r="T26">
        <v>0</v>
      </c>
      <c r="U26">
        <v>0</v>
      </c>
      <c r="V26">
        <v>1</v>
      </c>
      <c r="W26">
        <v>0</v>
      </c>
      <c r="X26">
        <v>0</v>
      </c>
      <c r="Y26">
        <v>0</v>
      </c>
      <c r="Z26">
        <v>1</v>
      </c>
      <c r="AA26">
        <v>0</v>
      </c>
      <c r="AB26">
        <v>1</v>
      </c>
      <c r="AC26">
        <v>1</v>
      </c>
      <c r="AD26">
        <v>0</v>
      </c>
      <c r="AE26">
        <v>0</v>
      </c>
      <c r="AF26">
        <v>0</v>
      </c>
      <c r="AG26">
        <f t="shared" si="0"/>
        <v>13</v>
      </c>
      <c r="AH26">
        <f t="shared" si="1"/>
        <v>6</v>
      </c>
      <c r="AI26">
        <f t="shared" si="2"/>
        <v>4</v>
      </c>
      <c r="AJ26">
        <f t="shared" si="3"/>
        <v>3</v>
      </c>
    </row>
    <row r="27" spans="1:36">
      <c r="A27" t="s">
        <v>173</v>
      </c>
      <c r="B27" t="s">
        <v>92</v>
      </c>
      <c r="C27">
        <v>1</v>
      </c>
      <c r="D27">
        <v>0</v>
      </c>
      <c r="E27">
        <v>0</v>
      </c>
      <c r="F27">
        <v>1</v>
      </c>
      <c r="G27">
        <v>0</v>
      </c>
      <c r="H27">
        <v>0</v>
      </c>
      <c r="I27">
        <v>0</v>
      </c>
      <c r="J27">
        <v>0</v>
      </c>
      <c r="K27">
        <v>0</v>
      </c>
      <c r="L27">
        <v>1</v>
      </c>
      <c r="M27">
        <v>0</v>
      </c>
      <c r="N27">
        <v>0</v>
      </c>
      <c r="O27">
        <v>0</v>
      </c>
      <c r="P27">
        <v>1</v>
      </c>
      <c r="Q27">
        <v>0</v>
      </c>
      <c r="R27">
        <v>0</v>
      </c>
      <c r="S27">
        <v>1</v>
      </c>
      <c r="T27">
        <v>0</v>
      </c>
      <c r="U27">
        <v>0</v>
      </c>
      <c r="V27">
        <v>1</v>
      </c>
      <c r="W27">
        <v>0</v>
      </c>
      <c r="X27">
        <v>0</v>
      </c>
      <c r="Y27">
        <v>0</v>
      </c>
      <c r="Z27">
        <v>1</v>
      </c>
      <c r="AA27">
        <v>0</v>
      </c>
      <c r="AB27">
        <v>0</v>
      </c>
      <c r="AC27">
        <v>0</v>
      </c>
      <c r="AD27">
        <v>1</v>
      </c>
      <c r="AE27">
        <v>0</v>
      </c>
      <c r="AF27">
        <v>1</v>
      </c>
      <c r="AG27">
        <f t="shared" si="0"/>
        <v>9</v>
      </c>
      <c r="AH27">
        <f t="shared" si="1"/>
        <v>3</v>
      </c>
      <c r="AI27">
        <f t="shared" si="2"/>
        <v>3</v>
      </c>
      <c r="AJ27">
        <f t="shared" si="3"/>
        <v>3</v>
      </c>
    </row>
    <row r="28" spans="1:36">
      <c r="A28" t="s">
        <v>174</v>
      </c>
      <c r="B28" t="s">
        <v>92</v>
      </c>
      <c r="C28">
        <v>0</v>
      </c>
      <c r="D28">
        <v>1</v>
      </c>
      <c r="E28">
        <v>1</v>
      </c>
      <c r="F28">
        <v>1</v>
      </c>
      <c r="G28">
        <v>0</v>
      </c>
      <c r="H28">
        <v>0</v>
      </c>
      <c r="I28">
        <v>0</v>
      </c>
      <c r="J28">
        <v>1</v>
      </c>
      <c r="K28">
        <v>1</v>
      </c>
      <c r="L28">
        <v>0</v>
      </c>
      <c r="M28">
        <v>1</v>
      </c>
      <c r="N28">
        <v>1</v>
      </c>
      <c r="O28">
        <v>0</v>
      </c>
      <c r="P28">
        <v>0</v>
      </c>
      <c r="Q28">
        <v>0</v>
      </c>
      <c r="R28">
        <v>0</v>
      </c>
      <c r="S28">
        <v>1</v>
      </c>
      <c r="T28">
        <v>0</v>
      </c>
      <c r="U28">
        <v>0</v>
      </c>
      <c r="V28">
        <v>0</v>
      </c>
      <c r="W28">
        <v>0</v>
      </c>
      <c r="X28">
        <v>0</v>
      </c>
      <c r="Y28">
        <v>0</v>
      </c>
      <c r="Z28">
        <v>0</v>
      </c>
      <c r="AA28">
        <v>1</v>
      </c>
      <c r="AB28">
        <v>0</v>
      </c>
      <c r="AC28">
        <v>1</v>
      </c>
      <c r="AD28">
        <v>0</v>
      </c>
      <c r="AE28">
        <v>1</v>
      </c>
      <c r="AF28">
        <v>0</v>
      </c>
      <c r="AG28">
        <f t="shared" si="0"/>
        <v>11</v>
      </c>
      <c r="AH28">
        <f t="shared" si="1"/>
        <v>5</v>
      </c>
      <c r="AI28">
        <f t="shared" si="2"/>
        <v>3</v>
      </c>
      <c r="AJ28">
        <f t="shared" si="3"/>
        <v>3</v>
      </c>
    </row>
    <row r="29" spans="1:36">
      <c r="A29" t="s">
        <v>175</v>
      </c>
      <c r="B29" t="s">
        <v>92</v>
      </c>
      <c r="C29">
        <v>0</v>
      </c>
      <c r="D29">
        <v>1</v>
      </c>
      <c r="E29">
        <v>0</v>
      </c>
      <c r="F29">
        <v>0</v>
      </c>
      <c r="G29">
        <v>0</v>
      </c>
      <c r="H29">
        <v>1</v>
      </c>
      <c r="I29">
        <v>0</v>
      </c>
      <c r="J29">
        <v>0</v>
      </c>
      <c r="K29">
        <v>0</v>
      </c>
      <c r="L29">
        <v>0</v>
      </c>
      <c r="M29">
        <v>0</v>
      </c>
      <c r="N29">
        <v>1</v>
      </c>
      <c r="O29">
        <v>1</v>
      </c>
      <c r="P29">
        <v>1</v>
      </c>
      <c r="Q29">
        <v>0</v>
      </c>
      <c r="R29">
        <v>0</v>
      </c>
      <c r="S29">
        <v>0</v>
      </c>
      <c r="T29">
        <v>1</v>
      </c>
      <c r="U29">
        <v>0</v>
      </c>
      <c r="V29">
        <v>0</v>
      </c>
      <c r="W29">
        <v>0</v>
      </c>
      <c r="X29">
        <v>1</v>
      </c>
      <c r="Y29">
        <v>0</v>
      </c>
      <c r="Z29">
        <v>0</v>
      </c>
      <c r="AA29">
        <v>1</v>
      </c>
      <c r="AB29">
        <v>0</v>
      </c>
      <c r="AC29">
        <v>0</v>
      </c>
      <c r="AD29">
        <v>1</v>
      </c>
      <c r="AE29">
        <v>0</v>
      </c>
      <c r="AF29">
        <v>0</v>
      </c>
      <c r="AG29">
        <f t="shared" si="0"/>
        <v>9</v>
      </c>
      <c r="AH29">
        <f t="shared" si="1"/>
        <v>2</v>
      </c>
      <c r="AI29">
        <f t="shared" si="2"/>
        <v>4</v>
      </c>
      <c r="AJ29">
        <f t="shared" si="3"/>
        <v>3</v>
      </c>
    </row>
    <row r="30" spans="1:36">
      <c r="A30" t="s">
        <v>176</v>
      </c>
      <c r="B30" t="s">
        <v>92</v>
      </c>
      <c r="C30">
        <v>1</v>
      </c>
      <c r="D30">
        <v>1</v>
      </c>
      <c r="E30">
        <v>1</v>
      </c>
      <c r="F30">
        <v>0</v>
      </c>
      <c r="G30">
        <v>0</v>
      </c>
      <c r="H30">
        <v>1</v>
      </c>
      <c r="I30">
        <v>0</v>
      </c>
      <c r="J30">
        <v>1</v>
      </c>
      <c r="K30">
        <v>1</v>
      </c>
      <c r="L30">
        <v>0</v>
      </c>
      <c r="M30">
        <v>1</v>
      </c>
      <c r="N30">
        <v>1</v>
      </c>
      <c r="O30">
        <v>1</v>
      </c>
      <c r="P30">
        <v>1</v>
      </c>
      <c r="Q30">
        <v>1</v>
      </c>
      <c r="R30">
        <v>0</v>
      </c>
      <c r="S30">
        <v>1</v>
      </c>
      <c r="T30">
        <v>0</v>
      </c>
      <c r="U30">
        <v>1</v>
      </c>
      <c r="V30">
        <v>0</v>
      </c>
      <c r="W30">
        <v>0</v>
      </c>
      <c r="X30">
        <v>0</v>
      </c>
      <c r="Y30">
        <v>0</v>
      </c>
      <c r="Z30">
        <v>0</v>
      </c>
      <c r="AA30">
        <v>0</v>
      </c>
      <c r="AB30">
        <v>1</v>
      </c>
      <c r="AC30">
        <v>0</v>
      </c>
      <c r="AD30">
        <v>0</v>
      </c>
      <c r="AE30">
        <v>0</v>
      </c>
      <c r="AF30">
        <v>0</v>
      </c>
      <c r="AG30">
        <f t="shared" si="0"/>
        <v>14</v>
      </c>
      <c r="AH30">
        <f t="shared" si="1"/>
        <v>6</v>
      </c>
      <c r="AI30">
        <f t="shared" si="2"/>
        <v>7</v>
      </c>
      <c r="AJ30">
        <f t="shared" si="3"/>
        <v>1</v>
      </c>
    </row>
    <row r="31" spans="1:36">
      <c r="A31" t="s">
        <v>177</v>
      </c>
      <c r="B31" t="s">
        <v>92</v>
      </c>
      <c r="C31">
        <v>1</v>
      </c>
      <c r="D31">
        <v>0</v>
      </c>
      <c r="E31">
        <v>1</v>
      </c>
      <c r="F31">
        <v>0</v>
      </c>
      <c r="G31">
        <v>0</v>
      </c>
      <c r="H31">
        <v>0</v>
      </c>
      <c r="I31">
        <v>0</v>
      </c>
      <c r="J31">
        <v>0</v>
      </c>
      <c r="K31">
        <v>1</v>
      </c>
      <c r="L31">
        <v>1</v>
      </c>
      <c r="M31">
        <v>1</v>
      </c>
      <c r="N31">
        <v>1</v>
      </c>
      <c r="O31">
        <v>1</v>
      </c>
      <c r="P31">
        <v>1</v>
      </c>
      <c r="Q31">
        <v>1</v>
      </c>
      <c r="R31">
        <v>0</v>
      </c>
      <c r="S31">
        <v>0</v>
      </c>
      <c r="T31">
        <v>1</v>
      </c>
      <c r="U31">
        <v>0</v>
      </c>
      <c r="V31">
        <v>0</v>
      </c>
      <c r="W31">
        <v>1</v>
      </c>
      <c r="X31">
        <v>0</v>
      </c>
      <c r="Y31">
        <v>0</v>
      </c>
      <c r="Z31">
        <v>0</v>
      </c>
      <c r="AA31">
        <v>0</v>
      </c>
      <c r="AB31">
        <v>1</v>
      </c>
      <c r="AC31">
        <v>0</v>
      </c>
      <c r="AD31">
        <v>1</v>
      </c>
      <c r="AE31">
        <v>1</v>
      </c>
      <c r="AF31">
        <v>0</v>
      </c>
      <c r="AG31">
        <f t="shared" si="0"/>
        <v>14</v>
      </c>
      <c r="AH31">
        <f t="shared" si="1"/>
        <v>4</v>
      </c>
      <c r="AI31">
        <f t="shared" si="2"/>
        <v>6</v>
      </c>
      <c r="AJ31">
        <f t="shared" si="3"/>
        <v>4</v>
      </c>
    </row>
    <row r="32" spans="1:36">
      <c r="A32" t="s">
        <v>178</v>
      </c>
      <c r="B32" t="s">
        <v>92</v>
      </c>
      <c r="C32">
        <v>0</v>
      </c>
      <c r="D32">
        <v>1</v>
      </c>
      <c r="E32">
        <v>0</v>
      </c>
      <c r="F32">
        <v>1</v>
      </c>
      <c r="G32">
        <v>1</v>
      </c>
      <c r="H32">
        <v>0</v>
      </c>
      <c r="I32">
        <v>1</v>
      </c>
      <c r="J32">
        <v>0</v>
      </c>
      <c r="K32">
        <v>0</v>
      </c>
      <c r="L32">
        <v>0</v>
      </c>
      <c r="M32">
        <v>0</v>
      </c>
      <c r="N32">
        <v>0</v>
      </c>
      <c r="O32">
        <v>1</v>
      </c>
      <c r="P32">
        <v>0</v>
      </c>
      <c r="Q32">
        <v>0</v>
      </c>
      <c r="R32">
        <v>1</v>
      </c>
      <c r="S32">
        <v>0</v>
      </c>
      <c r="T32">
        <v>0</v>
      </c>
      <c r="U32">
        <v>0</v>
      </c>
      <c r="V32">
        <v>1</v>
      </c>
      <c r="W32">
        <v>0</v>
      </c>
      <c r="X32">
        <v>0</v>
      </c>
      <c r="Y32">
        <v>0</v>
      </c>
      <c r="Z32">
        <v>1</v>
      </c>
      <c r="AA32">
        <v>1</v>
      </c>
      <c r="AB32">
        <v>1</v>
      </c>
      <c r="AC32">
        <v>1</v>
      </c>
      <c r="AD32">
        <v>1</v>
      </c>
      <c r="AE32">
        <v>1</v>
      </c>
      <c r="AF32">
        <v>0</v>
      </c>
      <c r="AG32">
        <f t="shared" si="0"/>
        <v>13</v>
      </c>
      <c r="AH32">
        <f t="shared" si="1"/>
        <v>4</v>
      </c>
      <c r="AI32">
        <f t="shared" si="2"/>
        <v>3</v>
      </c>
      <c r="AJ32">
        <f t="shared" si="3"/>
        <v>6</v>
      </c>
    </row>
    <row r="33" spans="1:36">
      <c r="A33" t="s">
        <v>179</v>
      </c>
      <c r="B33" t="s">
        <v>92</v>
      </c>
      <c r="C33">
        <v>0</v>
      </c>
      <c r="D33">
        <v>0</v>
      </c>
      <c r="E33">
        <v>0</v>
      </c>
      <c r="F33">
        <v>0</v>
      </c>
      <c r="G33">
        <v>1</v>
      </c>
      <c r="H33">
        <v>1</v>
      </c>
      <c r="I33">
        <v>0</v>
      </c>
      <c r="J33">
        <v>1</v>
      </c>
      <c r="K33">
        <v>0</v>
      </c>
      <c r="L33">
        <v>0</v>
      </c>
      <c r="M33">
        <v>1</v>
      </c>
      <c r="N33">
        <v>0</v>
      </c>
      <c r="O33">
        <v>1</v>
      </c>
      <c r="P33">
        <v>1</v>
      </c>
      <c r="Q33">
        <v>1</v>
      </c>
      <c r="R33">
        <v>0</v>
      </c>
      <c r="S33">
        <v>1</v>
      </c>
      <c r="T33">
        <v>0</v>
      </c>
      <c r="U33">
        <v>1</v>
      </c>
      <c r="V33">
        <v>1</v>
      </c>
      <c r="W33">
        <v>1</v>
      </c>
      <c r="X33">
        <v>1</v>
      </c>
      <c r="Y33">
        <v>0</v>
      </c>
      <c r="Z33">
        <v>0</v>
      </c>
      <c r="AA33">
        <v>0</v>
      </c>
      <c r="AB33">
        <v>0</v>
      </c>
      <c r="AC33">
        <v>1</v>
      </c>
      <c r="AD33">
        <v>1</v>
      </c>
      <c r="AE33">
        <v>0</v>
      </c>
      <c r="AF33">
        <v>1</v>
      </c>
      <c r="AG33">
        <f t="shared" si="0"/>
        <v>15</v>
      </c>
      <c r="AH33">
        <f t="shared" si="1"/>
        <v>3</v>
      </c>
      <c r="AI33">
        <f t="shared" si="2"/>
        <v>7</v>
      </c>
      <c r="AJ33">
        <f t="shared" si="3"/>
        <v>5</v>
      </c>
    </row>
    <row r="34" spans="1:36">
      <c r="A34" t="s">
        <v>180</v>
      </c>
      <c r="B34" t="s">
        <v>92</v>
      </c>
      <c r="C34">
        <v>0</v>
      </c>
      <c r="D34">
        <v>0</v>
      </c>
      <c r="E34">
        <v>0</v>
      </c>
      <c r="F34">
        <v>1</v>
      </c>
      <c r="G34">
        <v>0</v>
      </c>
      <c r="H34">
        <v>1</v>
      </c>
      <c r="I34">
        <v>1</v>
      </c>
      <c r="J34">
        <v>0</v>
      </c>
      <c r="K34">
        <v>1</v>
      </c>
      <c r="L34">
        <v>0</v>
      </c>
      <c r="M34">
        <v>1</v>
      </c>
      <c r="N34">
        <v>1</v>
      </c>
      <c r="O34">
        <v>0</v>
      </c>
      <c r="P34">
        <v>0</v>
      </c>
      <c r="Q34">
        <v>0</v>
      </c>
      <c r="R34">
        <v>1</v>
      </c>
      <c r="S34">
        <v>1</v>
      </c>
      <c r="T34">
        <v>1</v>
      </c>
      <c r="U34">
        <v>1</v>
      </c>
      <c r="V34">
        <v>1</v>
      </c>
      <c r="W34">
        <v>0</v>
      </c>
      <c r="X34">
        <v>1</v>
      </c>
      <c r="Y34">
        <v>0</v>
      </c>
      <c r="Z34">
        <v>0</v>
      </c>
      <c r="AA34">
        <v>0</v>
      </c>
      <c r="AB34">
        <v>0</v>
      </c>
      <c r="AC34">
        <v>0</v>
      </c>
      <c r="AD34">
        <v>0</v>
      </c>
      <c r="AE34">
        <v>1</v>
      </c>
      <c r="AF34">
        <v>1</v>
      </c>
      <c r="AG34">
        <f t="shared" si="0"/>
        <v>14</v>
      </c>
      <c r="AH34">
        <f t="shared" si="1"/>
        <v>4</v>
      </c>
      <c r="AI34">
        <f t="shared" si="2"/>
        <v>7</v>
      </c>
      <c r="AJ34">
        <f t="shared" si="3"/>
        <v>3</v>
      </c>
    </row>
    <row r="35" spans="1:36">
      <c r="A35" t="s">
        <v>181</v>
      </c>
      <c r="B35" t="s">
        <v>92</v>
      </c>
      <c r="C35">
        <v>0</v>
      </c>
      <c r="D35">
        <v>0</v>
      </c>
      <c r="E35">
        <v>0</v>
      </c>
      <c r="F35">
        <v>1</v>
      </c>
      <c r="G35">
        <v>1</v>
      </c>
      <c r="H35">
        <v>0</v>
      </c>
      <c r="I35">
        <v>0</v>
      </c>
      <c r="J35">
        <v>0</v>
      </c>
      <c r="K35">
        <v>0</v>
      </c>
      <c r="L35">
        <v>1</v>
      </c>
      <c r="M35">
        <v>1</v>
      </c>
      <c r="N35">
        <v>0</v>
      </c>
      <c r="O35">
        <v>1</v>
      </c>
      <c r="P35">
        <v>0</v>
      </c>
      <c r="Q35">
        <v>1</v>
      </c>
      <c r="R35">
        <v>1</v>
      </c>
      <c r="S35">
        <v>1</v>
      </c>
      <c r="T35">
        <v>1</v>
      </c>
      <c r="U35">
        <v>0</v>
      </c>
      <c r="V35">
        <v>0</v>
      </c>
      <c r="W35">
        <v>0</v>
      </c>
      <c r="X35">
        <v>0</v>
      </c>
      <c r="Y35">
        <v>0</v>
      </c>
      <c r="Z35">
        <v>1</v>
      </c>
      <c r="AA35">
        <v>0</v>
      </c>
      <c r="AB35">
        <v>0</v>
      </c>
      <c r="AC35">
        <v>1</v>
      </c>
      <c r="AD35">
        <v>1</v>
      </c>
      <c r="AE35">
        <v>1</v>
      </c>
      <c r="AF35">
        <v>1</v>
      </c>
      <c r="AG35">
        <f t="shared" si="0"/>
        <v>14</v>
      </c>
      <c r="AH35">
        <f t="shared" si="1"/>
        <v>3</v>
      </c>
      <c r="AI35">
        <f t="shared" si="2"/>
        <v>6</v>
      </c>
      <c r="AJ35">
        <f t="shared" si="3"/>
        <v>5</v>
      </c>
    </row>
    <row r="36" spans="1:36">
      <c r="A36" t="s">
        <v>182</v>
      </c>
      <c r="B36" t="s">
        <v>92</v>
      </c>
      <c r="C36">
        <v>0</v>
      </c>
      <c r="D36">
        <v>0</v>
      </c>
      <c r="E36">
        <v>0</v>
      </c>
      <c r="F36">
        <v>0</v>
      </c>
      <c r="G36">
        <v>0</v>
      </c>
      <c r="H36">
        <v>0</v>
      </c>
      <c r="I36">
        <v>0</v>
      </c>
      <c r="J36">
        <v>0</v>
      </c>
      <c r="K36">
        <v>1</v>
      </c>
      <c r="L36">
        <v>0</v>
      </c>
      <c r="M36">
        <v>0</v>
      </c>
      <c r="N36">
        <v>0</v>
      </c>
      <c r="O36">
        <v>1</v>
      </c>
      <c r="P36">
        <v>0</v>
      </c>
      <c r="Q36">
        <v>0</v>
      </c>
      <c r="R36">
        <v>1</v>
      </c>
      <c r="S36">
        <v>0</v>
      </c>
      <c r="T36">
        <v>0</v>
      </c>
      <c r="U36">
        <v>0</v>
      </c>
      <c r="V36">
        <v>1</v>
      </c>
      <c r="W36">
        <v>0</v>
      </c>
      <c r="X36">
        <v>1</v>
      </c>
      <c r="Y36">
        <v>0</v>
      </c>
      <c r="Z36">
        <v>1</v>
      </c>
      <c r="AA36">
        <v>0</v>
      </c>
      <c r="AB36">
        <v>0</v>
      </c>
      <c r="AC36">
        <v>1</v>
      </c>
      <c r="AD36">
        <v>0</v>
      </c>
      <c r="AE36">
        <v>1</v>
      </c>
      <c r="AF36">
        <v>0</v>
      </c>
      <c r="AG36">
        <f t="shared" si="0"/>
        <v>8</v>
      </c>
      <c r="AH36">
        <f t="shared" si="1"/>
        <v>1</v>
      </c>
      <c r="AI36">
        <f t="shared" si="2"/>
        <v>3</v>
      </c>
      <c r="AJ36">
        <f t="shared" si="3"/>
        <v>4</v>
      </c>
    </row>
    <row r="37" spans="1:36">
      <c r="A37" t="s">
        <v>183</v>
      </c>
      <c r="B37" t="s">
        <v>92</v>
      </c>
      <c r="C37">
        <v>0</v>
      </c>
      <c r="D37">
        <v>0</v>
      </c>
      <c r="E37">
        <v>0</v>
      </c>
      <c r="F37">
        <v>0</v>
      </c>
      <c r="G37">
        <v>0</v>
      </c>
      <c r="H37">
        <v>0</v>
      </c>
      <c r="I37">
        <v>1</v>
      </c>
      <c r="J37">
        <v>0</v>
      </c>
      <c r="K37">
        <v>1</v>
      </c>
      <c r="L37">
        <v>0</v>
      </c>
      <c r="M37">
        <v>1</v>
      </c>
      <c r="N37">
        <v>1</v>
      </c>
      <c r="O37">
        <v>0</v>
      </c>
      <c r="P37">
        <v>0</v>
      </c>
      <c r="Q37">
        <v>0</v>
      </c>
      <c r="R37">
        <v>0</v>
      </c>
      <c r="S37">
        <v>1</v>
      </c>
      <c r="T37">
        <v>0</v>
      </c>
      <c r="U37">
        <v>1</v>
      </c>
      <c r="V37">
        <v>1</v>
      </c>
      <c r="W37">
        <v>0</v>
      </c>
      <c r="X37">
        <v>0</v>
      </c>
      <c r="Y37">
        <v>0</v>
      </c>
      <c r="Z37">
        <v>1</v>
      </c>
      <c r="AA37">
        <v>1</v>
      </c>
      <c r="AB37">
        <v>0</v>
      </c>
      <c r="AC37">
        <v>0</v>
      </c>
      <c r="AD37">
        <v>0</v>
      </c>
      <c r="AE37">
        <v>0</v>
      </c>
      <c r="AF37">
        <v>0</v>
      </c>
      <c r="AG37">
        <f t="shared" si="0"/>
        <v>9</v>
      </c>
      <c r="AH37">
        <f t="shared" si="1"/>
        <v>2</v>
      </c>
      <c r="AI37">
        <f t="shared" si="2"/>
        <v>5</v>
      </c>
      <c r="AJ37">
        <f t="shared" si="3"/>
        <v>2</v>
      </c>
    </row>
    <row r="38" spans="1:36">
      <c r="A38" t="s">
        <v>184</v>
      </c>
      <c r="B38" t="s">
        <v>92</v>
      </c>
      <c r="C38">
        <v>1</v>
      </c>
      <c r="D38">
        <v>0</v>
      </c>
      <c r="E38">
        <v>0</v>
      </c>
      <c r="F38">
        <v>0</v>
      </c>
      <c r="G38">
        <v>0</v>
      </c>
      <c r="H38">
        <v>0</v>
      </c>
      <c r="I38">
        <v>1</v>
      </c>
      <c r="J38">
        <v>0</v>
      </c>
      <c r="K38">
        <v>1</v>
      </c>
      <c r="L38">
        <v>1</v>
      </c>
      <c r="M38">
        <v>1</v>
      </c>
      <c r="N38">
        <v>0</v>
      </c>
      <c r="O38">
        <v>0</v>
      </c>
      <c r="P38">
        <v>0</v>
      </c>
      <c r="Q38">
        <v>1</v>
      </c>
      <c r="R38">
        <v>1</v>
      </c>
      <c r="S38">
        <v>1</v>
      </c>
      <c r="T38">
        <v>0</v>
      </c>
      <c r="U38">
        <v>0</v>
      </c>
      <c r="V38">
        <v>1</v>
      </c>
      <c r="W38">
        <v>0</v>
      </c>
      <c r="X38">
        <v>0</v>
      </c>
      <c r="Y38">
        <v>0</v>
      </c>
      <c r="Z38">
        <v>0</v>
      </c>
      <c r="AA38">
        <v>0</v>
      </c>
      <c r="AB38">
        <v>1</v>
      </c>
      <c r="AC38">
        <v>1</v>
      </c>
      <c r="AD38">
        <v>1</v>
      </c>
      <c r="AE38">
        <v>1</v>
      </c>
      <c r="AF38">
        <v>0</v>
      </c>
      <c r="AG38">
        <f t="shared" si="0"/>
        <v>13</v>
      </c>
      <c r="AH38">
        <f t="shared" si="1"/>
        <v>4</v>
      </c>
      <c r="AI38">
        <f t="shared" si="2"/>
        <v>5</v>
      </c>
      <c r="AJ38">
        <f t="shared" si="3"/>
        <v>4</v>
      </c>
    </row>
    <row r="39" spans="1:36">
      <c r="A39" t="s">
        <v>185</v>
      </c>
      <c r="B39" t="s">
        <v>92</v>
      </c>
      <c r="C39">
        <v>0</v>
      </c>
      <c r="D39">
        <v>1</v>
      </c>
      <c r="E39">
        <v>0</v>
      </c>
      <c r="F39">
        <v>0</v>
      </c>
      <c r="G39">
        <v>1</v>
      </c>
      <c r="H39">
        <v>1</v>
      </c>
      <c r="I39">
        <v>0</v>
      </c>
      <c r="J39">
        <v>0</v>
      </c>
      <c r="K39">
        <v>1</v>
      </c>
      <c r="L39">
        <v>1</v>
      </c>
      <c r="M39">
        <v>0</v>
      </c>
      <c r="N39">
        <v>0</v>
      </c>
      <c r="O39">
        <v>0</v>
      </c>
      <c r="P39">
        <v>0</v>
      </c>
      <c r="Q39">
        <v>0</v>
      </c>
      <c r="R39">
        <v>0</v>
      </c>
      <c r="S39">
        <v>0</v>
      </c>
      <c r="T39">
        <v>0</v>
      </c>
      <c r="U39">
        <v>0</v>
      </c>
      <c r="V39">
        <v>0</v>
      </c>
      <c r="W39">
        <v>1</v>
      </c>
      <c r="X39">
        <v>1</v>
      </c>
      <c r="Y39">
        <v>1</v>
      </c>
      <c r="Z39">
        <v>0</v>
      </c>
      <c r="AA39">
        <v>1</v>
      </c>
      <c r="AB39">
        <v>1</v>
      </c>
      <c r="AC39">
        <v>0</v>
      </c>
      <c r="AD39">
        <v>1</v>
      </c>
      <c r="AE39">
        <v>1</v>
      </c>
      <c r="AF39">
        <v>0</v>
      </c>
      <c r="AG39">
        <f t="shared" si="0"/>
        <v>12</v>
      </c>
      <c r="AH39">
        <f t="shared" si="1"/>
        <v>5</v>
      </c>
      <c r="AI39">
        <f t="shared" si="2"/>
        <v>0</v>
      </c>
      <c r="AJ39">
        <f t="shared" si="3"/>
        <v>7</v>
      </c>
    </row>
    <row r="40" spans="1:36">
      <c r="A40" t="s">
        <v>186</v>
      </c>
      <c r="B40" t="s">
        <v>92</v>
      </c>
      <c r="C40">
        <v>0</v>
      </c>
      <c r="D40">
        <v>0</v>
      </c>
      <c r="E40">
        <v>0</v>
      </c>
      <c r="F40">
        <v>0</v>
      </c>
      <c r="G40">
        <v>0</v>
      </c>
      <c r="H40">
        <v>0</v>
      </c>
      <c r="I40">
        <v>0</v>
      </c>
      <c r="J40">
        <v>0</v>
      </c>
      <c r="K40">
        <v>1</v>
      </c>
      <c r="L40">
        <v>0</v>
      </c>
      <c r="M40">
        <v>0</v>
      </c>
      <c r="N40">
        <v>1</v>
      </c>
      <c r="O40">
        <v>1</v>
      </c>
      <c r="P40">
        <v>0</v>
      </c>
      <c r="Q40">
        <v>1</v>
      </c>
      <c r="R40">
        <v>1</v>
      </c>
      <c r="S40">
        <v>0</v>
      </c>
      <c r="T40">
        <v>0</v>
      </c>
      <c r="U40">
        <v>0</v>
      </c>
      <c r="V40">
        <v>0</v>
      </c>
      <c r="W40">
        <v>0</v>
      </c>
      <c r="X40">
        <v>1</v>
      </c>
      <c r="Y40">
        <v>0</v>
      </c>
      <c r="Z40">
        <v>0</v>
      </c>
      <c r="AA40">
        <v>1</v>
      </c>
      <c r="AB40">
        <v>0</v>
      </c>
      <c r="AC40">
        <v>1</v>
      </c>
      <c r="AD40">
        <v>1</v>
      </c>
      <c r="AE40">
        <v>1</v>
      </c>
      <c r="AF40">
        <v>0</v>
      </c>
      <c r="AG40">
        <f t="shared" si="0"/>
        <v>10</v>
      </c>
      <c r="AH40">
        <f t="shared" si="1"/>
        <v>1</v>
      </c>
      <c r="AI40">
        <f t="shared" si="2"/>
        <v>4</v>
      </c>
      <c r="AJ40">
        <f t="shared" si="3"/>
        <v>5</v>
      </c>
    </row>
    <row r="41" spans="1:36">
      <c r="A41" t="s">
        <v>187</v>
      </c>
      <c r="B41" t="s">
        <v>92</v>
      </c>
      <c r="C41">
        <v>1</v>
      </c>
      <c r="D41">
        <v>1</v>
      </c>
      <c r="E41">
        <v>1</v>
      </c>
      <c r="F41">
        <v>0</v>
      </c>
      <c r="G41">
        <v>1</v>
      </c>
      <c r="H41">
        <v>1</v>
      </c>
      <c r="I41">
        <v>0</v>
      </c>
      <c r="J41">
        <v>0</v>
      </c>
      <c r="K41">
        <v>1</v>
      </c>
      <c r="L41">
        <v>0</v>
      </c>
      <c r="M41">
        <v>0</v>
      </c>
      <c r="N41">
        <v>0</v>
      </c>
      <c r="O41">
        <v>1</v>
      </c>
      <c r="P41">
        <v>0</v>
      </c>
      <c r="Q41">
        <v>0</v>
      </c>
      <c r="R41">
        <v>1</v>
      </c>
      <c r="S41">
        <v>0</v>
      </c>
      <c r="T41">
        <v>0</v>
      </c>
      <c r="U41">
        <v>0</v>
      </c>
      <c r="V41">
        <v>0</v>
      </c>
      <c r="W41">
        <v>1</v>
      </c>
      <c r="X41">
        <v>0</v>
      </c>
      <c r="Y41">
        <v>1</v>
      </c>
      <c r="Z41">
        <v>0</v>
      </c>
      <c r="AA41">
        <v>0</v>
      </c>
      <c r="AB41">
        <v>1</v>
      </c>
      <c r="AC41">
        <v>0</v>
      </c>
      <c r="AD41">
        <v>1</v>
      </c>
      <c r="AE41">
        <v>0</v>
      </c>
      <c r="AF41">
        <v>0</v>
      </c>
      <c r="AG41">
        <f t="shared" si="0"/>
        <v>12</v>
      </c>
      <c r="AH41">
        <f t="shared" si="1"/>
        <v>6</v>
      </c>
      <c r="AI41">
        <f t="shared" si="2"/>
        <v>2</v>
      </c>
      <c r="AJ41">
        <f t="shared" si="3"/>
        <v>4</v>
      </c>
    </row>
    <row r="42" spans="1:36">
      <c r="A42" t="s">
        <v>188</v>
      </c>
      <c r="B42" t="s">
        <v>92</v>
      </c>
      <c r="C42">
        <v>1</v>
      </c>
      <c r="D42">
        <v>1</v>
      </c>
      <c r="E42">
        <v>0</v>
      </c>
      <c r="F42">
        <v>1</v>
      </c>
      <c r="G42">
        <v>0</v>
      </c>
      <c r="H42">
        <v>0</v>
      </c>
      <c r="I42">
        <v>0</v>
      </c>
      <c r="J42">
        <v>1</v>
      </c>
      <c r="K42">
        <v>0</v>
      </c>
      <c r="L42">
        <v>1</v>
      </c>
      <c r="M42">
        <v>1</v>
      </c>
      <c r="N42">
        <v>1</v>
      </c>
      <c r="O42">
        <v>0</v>
      </c>
      <c r="P42">
        <v>0</v>
      </c>
      <c r="Q42">
        <v>0</v>
      </c>
      <c r="R42">
        <v>1</v>
      </c>
      <c r="S42">
        <v>0</v>
      </c>
      <c r="T42">
        <v>1</v>
      </c>
      <c r="U42">
        <v>1</v>
      </c>
      <c r="V42">
        <v>0</v>
      </c>
      <c r="W42">
        <v>0</v>
      </c>
      <c r="X42">
        <v>0</v>
      </c>
      <c r="Y42">
        <v>0</v>
      </c>
      <c r="Z42">
        <v>1</v>
      </c>
      <c r="AA42">
        <v>1</v>
      </c>
      <c r="AB42">
        <v>0</v>
      </c>
      <c r="AC42">
        <v>0</v>
      </c>
      <c r="AD42">
        <v>0</v>
      </c>
      <c r="AE42">
        <v>1</v>
      </c>
      <c r="AF42">
        <v>0</v>
      </c>
      <c r="AG42">
        <f t="shared" si="0"/>
        <v>13</v>
      </c>
      <c r="AH42">
        <f t="shared" si="1"/>
        <v>5</v>
      </c>
      <c r="AI42">
        <f t="shared" si="2"/>
        <v>5</v>
      </c>
      <c r="AJ42">
        <f t="shared" si="3"/>
        <v>3</v>
      </c>
    </row>
    <row r="43" spans="1:36">
      <c r="A43" t="s">
        <v>189</v>
      </c>
      <c r="B43" t="s">
        <v>93</v>
      </c>
      <c r="C43">
        <v>1</v>
      </c>
      <c r="D43">
        <v>0</v>
      </c>
      <c r="E43">
        <v>0</v>
      </c>
      <c r="F43">
        <v>1</v>
      </c>
      <c r="G43">
        <v>0</v>
      </c>
      <c r="H43">
        <v>1</v>
      </c>
      <c r="I43">
        <v>0</v>
      </c>
      <c r="J43">
        <v>1</v>
      </c>
      <c r="K43">
        <v>0</v>
      </c>
      <c r="L43">
        <v>1</v>
      </c>
      <c r="M43">
        <v>0</v>
      </c>
      <c r="N43">
        <v>1</v>
      </c>
      <c r="O43">
        <v>0</v>
      </c>
      <c r="P43">
        <v>1</v>
      </c>
      <c r="Q43">
        <v>0</v>
      </c>
      <c r="R43">
        <v>1</v>
      </c>
      <c r="S43">
        <v>0</v>
      </c>
      <c r="T43">
        <v>0</v>
      </c>
      <c r="U43">
        <v>1</v>
      </c>
      <c r="V43">
        <v>1</v>
      </c>
      <c r="W43">
        <v>0</v>
      </c>
      <c r="X43">
        <v>1</v>
      </c>
      <c r="Y43">
        <v>1</v>
      </c>
      <c r="Z43">
        <v>1</v>
      </c>
      <c r="AA43">
        <v>0</v>
      </c>
      <c r="AB43">
        <v>0</v>
      </c>
      <c r="AC43">
        <v>1</v>
      </c>
      <c r="AD43">
        <v>0</v>
      </c>
      <c r="AE43">
        <v>0</v>
      </c>
      <c r="AF43">
        <v>0</v>
      </c>
      <c r="AG43">
        <f t="shared" si="0"/>
        <v>14</v>
      </c>
      <c r="AH43">
        <f t="shared" si="1"/>
        <v>5</v>
      </c>
      <c r="AI43">
        <f t="shared" si="2"/>
        <v>5</v>
      </c>
      <c r="AJ43">
        <f t="shared" si="3"/>
        <v>4</v>
      </c>
    </row>
    <row r="44" spans="1:36">
      <c r="A44" t="s">
        <v>190</v>
      </c>
      <c r="B44" t="s">
        <v>93</v>
      </c>
      <c r="C44">
        <v>1</v>
      </c>
      <c r="D44">
        <v>0</v>
      </c>
      <c r="E44">
        <v>0</v>
      </c>
      <c r="F44">
        <v>0</v>
      </c>
      <c r="G44">
        <v>1</v>
      </c>
      <c r="H44">
        <v>0</v>
      </c>
      <c r="I44">
        <v>0</v>
      </c>
      <c r="J44">
        <v>0</v>
      </c>
      <c r="K44">
        <v>0</v>
      </c>
      <c r="L44">
        <v>1</v>
      </c>
      <c r="M44">
        <v>0</v>
      </c>
      <c r="N44">
        <v>0</v>
      </c>
      <c r="O44">
        <v>0</v>
      </c>
      <c r="P44">
        <v>0</v>
      </c>
      <c r="Q44">
        <v>0</v>
      </c>
      <c r="R44">
        <v>1</v>
      </c>
      <c r="S44">
        <v>1</v>
      </c>
      <c r="T44">
        <v>0</v>
      </c>
      <c r="U44">
        <v>0</v>
      </c>
      <c r="V44">
        <v>0</v>
      </c>
      <c r="W44">
        <v>0</v>
      </c>
      <c r="X44">
        <v>0</v>
      </c>
      <c r="Y44">
        <v>0</v>
      </c>
      <c r="Z44">
        <v>1</v>
      </c>
      <c r="AA44">
        <v>1</v>
      </c>
      <c r="AB44">
        <v>0</v>
      </c>
      <c r="AC44">
        <v>0</v>
      </c>
      <c r="AD44">
        <v>1</v>
      </c>
      <c r="AE44">
        <v>1</v>
      </c>
      <c r="AF44">
        <v>0</v>
      </c>
      <c r="AG44">
        <f t="shared" si="0"/>
        <v>9</v>
      </c>
      <c r="AH44">
        <f t="shared" si="1"/>
        <v>3</v>
      </c>
      <c r="AI44">
        <f t="shared" si="2"/>
        <v>2</v>
      </c>
      <c r="AJ44">
        <f t="shared" si="3"/>
        <v>4</v>
      </c>
    </row>
    <row r="45" spans="1:36">
      <c r="A45" t="s">
        <v>191</v>
      </c>
      <c r="B45" t="s">
        <v>93</v>
      </c>
      <c r="C45">
        <v>0</v>
      </c>
      <c r="D45">
        <v>0</v>
      </c>
      <c r="E45">
        <v>0</v>
      </c>
      <c r="F45">
        <v>1</v>
      </c>
      <c r="G45">
        <v>0</v>
      </c>
      <c r="H45">
        <v>0</v>
      </c>
      <c r="I45">
        <v>0</v>
      </c>
      <c r="J45">
        <v>0</v>
      </c>
      <c r="K45">
        <v>1</v>
      </c>
      <c r="L45">
        <v>1</v>
      </c>
      <c r="M45">
        <v>0</v>
      </c>
      <c r="N45">
        <v>0</v>
      </c>
      <c r="O45">
        <v>0</v>
      </c>
      <c r="P45">
        <v>1</v>
      </c>
      <c r="Q45">
        <v>1</v>
      </c>
      <c r="R45">
        <v>1</v>
      </c>
      <c r="S45">
        <v>0</v>
      </c>
      <c r="T45">
        <v>0</v>
      </c>
      <c r="U45">
        <v>1</v>
      </c>
      <c r="V45">
        <v>1</v>
      </c>
      <c r="W45">
        <v>0</v>
      </c>
      <c r="X45">
        <v>0</v>
      </c>
      <c r="Y45">
        <v>1</v>
      </c>
      <c r="Z45">
        <v>0</v>
      </c>
      <c r="AA45">
        <v>1</v>
      </c>
      <c r="AB45">
        <v>0</v>
      </c>
      <c r="AC45">
        <v>0</v>
      </c>
      <c r="AD45">
        <v>0</v>
      </c>
      <c r="AE45">
        <v>0</v>
      </c>
      <c r="AF45">
        <v>1</v>
      </c>
      <c r="AG45">
        <f t="shared" si="0"/>
        <v>11</v>
      </c>
      <c r="AH45">
        <f t="shared" si="1"/>
        <v>3</v>
      </c>
      <c r="AI45">
        <f t="shared" si="2"/>
        <v>5</v>
      </c>
      <c r="AJ45">
        <f t="shared" si="3"/>
        <v>3</v>
      </c>
    </row>
    <row r="46" spans="1:36">
      <c r="A46" t="s">
        <v>192</v>
      </c>
      <c r="B46" t="s">
        <v>93</v>
      </c>
      <c r="C46">
        <v>0</v>
      </c>
      <c r="D46">
        <v>0</v>
      </c>
      <c r="E46">
        <v>1</v>
      </c>
      <c r="F46">
        <v>1</v>
      </c>
      <c r="G46">
        <v>0</v>
      </c>
      <c r="H46">
        <v>1</v>
      </c>
      <c r="I46">
        <v>0</v>
      </c>
      <c r="J46">
        <v>0</v>
      </c>
      <c r="K46">
        <v>0</v>
      </c>
      <c r="L46">
        <v>0</v>
      </c>
      <c r="M46">
        <v>1</v>
      </c>
      <c r="N46">
        <v>0</v>
      </c>
      <c r="O46">
        <v>0</v>
      </c>
      <c r="P46">
        <v>1</v>
      </c>
      <c r="Q46">
        <v>0</v>
      </c>
      <c r="R46">
        <v>0</v>
      </c>
      <c r="S46">
        <v>1</v>
      </c>
      <c r="T46">
        <v>1</v>
      </c>
      <c r="U46">
        <v>1</v>
      </c>
      <c r="V46">
        <v>1</v>
      </c>
      <c r="W46">
        <v>0</v>
      </c>
      <c r="X46">
        <v>0</v>
      </c>
      <c r="Y46">
        <v>0</v>
      </c>
      <c r="Z46">
        <v>1</v>
      </c>
      <c r="AA46">
        <v>1</v>
      </c>
      <c r="AB46">
        <v>1</v>
      </c>
      <c r="AC46">
        <v>1</v>
      </c>
      <c r="AD46">
        <v>0</v>
      </c>
      <c r="AE46">
        <v>0</v>
      </c>
      <c r="AF46">
        <v>0</v>
      </c>
      <c r="AG46">
        <f t="shared" si="0"/>
        <v>13</v>
      </c>
      <c r="AH46">
        <f t="shared" si="1"/>
        <v>3</v>
      </c>
      <c r="AI46">
        <f t="shared" si="2"/>
        <v>6</v>
      </c>
      <c r="AJ46">
        <f t="shared" si="3"/>
        <v>4</v>
      </c>
    </row>
    <row r="47" spans="1:36">
      <c r="A47" t="s">
        <v>193</v>
      </c>
      <c r="B47" t="s">
        <v>93</v>
      </c>
      <c r="C47">
        <v>1</v>
      </c>
      <c r="D47">
        <v>1</v>
      </c>
      <c r="E47">
        <v>0</v>
      </c>
      <c r="F47">
        <v>0</v>
      </c>
      <c r="G47">
        <v>0</v>
      </c>
      <c r="H47">
        <v>1</v>
      </c>
      <c r="I47">
        <v>0</v>
      </c>
      <c r="J47">
        <v>0</v>
      </c>
      <c r="K47">
        <v>1</v>
      </c>
      <c r="L47">
        <v>0</v>
      </c>
      <c r="M47">
        <v>1</v>
      </c>
      <c r="N47">
        <v>0</v>
      </c>
      <c r="O47">
        <v>1</v>
      </c>
      <c r="P47">
        <v>0</v>
      </c>
      <c r="Q47">
        <v>0</v>
      </c>
      <c r="R47">
        <v>0</v>
      </c>
      <c r="S47">
        <v>1</v>
      </c>
      <c r="T47">
        <v>1</v>
      </c>
      <c r="U47">
        <v>1</v>
      </c>
      <c r="V47">
        <v>0</v>
      </c>
      <c r="W47">
        <v>0</v>
      </c>
      <c r="X47">
        <v>1</v>
      </c>
      <c r="Y47">
        <v>1</v>
      </c>
      <c r="Z47">
        <v>0</v>
      </c>
      <c r="AA47">
        <v>1</v>
      </c>
      <c r="AB47">
        <v>0</v>
      </c>
      <c r="AC47">
        <v>0</v>
      </c>
      <c r="AD47">
        <v>0</v>
      </c>
      <c r="AE47">
        <v>0</v>
      </c>
      <c r="AF47">
        <v>0</v>
      </c>
      <c r="AG47">
        <f t="shared" si="0"/>
        <v>12</v>
      </c>
      <c r="AH47">
        <f t="shared" si="1"/>
        <v>4</v>
      </c>
      <c r="AI47">
        <f t="shared" si="2"/>
        <v>5</v>
      </c>
      <c r="AJ47">
        <f t="shared" si="3"/>
        <v>3</v>
      </c>
    </row>
    <row r="48" spans="1:36">
      <c r="A48" t="s">
        <v>194</v>
      </c>
      <c r="B48" t="s">
        <v>93</v>
      </c>
      <c r="C48">
        <v>0</v>
      </c>
      <c r="D48">
        <v>1</v>
      </c>
      <c r="E48">
        <v>1</v>
      </c>
      <c r="F48">
        <v>0</v>
      </c>
      <c r="G48">
        <v>1</v>
      </c>
      <c r="H48">
        <v>0</v>
      </c>
      <c r="I48">
        <v>1</v>
      </c>
      <c r="J48">
        <v>0</v>
      </c>
      <c r="K48">
        <v>1</v>
      </c>
      <c r="L48">
        <v>0</v>
      </c>
      <c r="M48">
        <v>0</v>
      </c>
      <c r="N48">
        <v>0</v>
      </c>
      <c r="O48">
        <v>0</v>
      </c>
      <c r="P48">
        <v>1</v>
      </c>
      <c r="Q48">
        <v>0</v>
      </c>
      <c r="R48">
        <v>1</v>
      </c>
      <c r="S48">
        <v>0</v>
      </c>
      <c r="T48">
        <v>0</v>
      </c>
      <c r="U48">
        <v>0</v>
      </c>
      <c r="V48">
        <v>0</v>
      </c>
      <c r="W48">
        <v>1</v>
      </c>
      <c r="X48">
        <v>0</v>
      </c>
      <c r="Y48">
        <v>0</v>
      </c>
      <c r="Z48">
        <v>0</v>
      </c>
      <c r="AA48">
        <v>0</v>
      </c>
      <c r="AB48">
        <v>0</v>
      </c>
      <c r="AC48">
        <v>0</v>
      </c>
      <c r="AD48">
        <v>0</v>
      </c>
      <c r="AE48">
        <v>0</v>
      </c>
      <c r="AF48">
        <v>0</v>
      </c>
      <c r="AG48">
        <f t="shared" si="0"/>
        <v>8</v>
      </c>
      <c r="AH48">
        <f t="shared" si="1"/>
        <v>5</v>
      </c>
      <c r="AI48">
        <f t="shared" si="2"/>
        <v>2</v>
      </c>
      <c r="AJ48">
        <f t="shared" si="3"/>
        <v>1</v>
      </c>
    </row>
    <row r="49" spans="1:36">
      <c r="A49" t="s">
        <v>195</v>
      </c>
      <c r="B49" t="s">
        <v>93</v>
      </c>
      <c r="C49">
        <v>1</v>
      </c>
      <c r="D49">
        <v>1</v>
      </c>
      <c r="E49">
        <v>1</v>
      </c>
      <c r="F49">
        <v>0</v>
      </c>
      <c r="G49">
        <v>0</v>
      </c>
      <c r="H49">
        <v>0</v>
      </c>
      <c r="I49">
        <v>0</v>
      </c>
      <c r="J49">
        <v>1</v>
      </c>
      <c r="K49">
        <v>0</v>
      </c>
      <c r="L49">
        <v>0</v>
      </c>
      <c r="M49">
        <v>1</v>
      </c>
      <c r="N49">
        <v>0</v>
      </c>
      <c r="O49">
        <v>0</v>
      </c>
      <c r="P49">
        <v>1</v>
      </c>
      <c r="Q49">
        <v>0</v>
      </c>
      <c r="R49">
        <v>1</v>
      </c>
      <c r="S49">
        <v>0</v>
      </c>
      <c r="T49">
        <v>1</v>
      </c>
      <c r="U49">
        <v>1</v>
      </c>
      <c r="V49">
        <v>1</v>
      </c>
      <c r="W49">
        <v>1</v>
      </c>
      <c r="X49">
        <v>0</v>
      </c>
      <c r="Y49">
        <v>1</v>
      </c>
      <c r="Z49">
        <v>1</v>
      </c>
      <c r="AA49">
        <v>1</v>
      </c>
      <c r="AB49">
        <v>1</v>
      </c>
      <c r="AC49">
        <v>0</v>
      </c>
      <c r="AD49">
        <v>0</v>
      </c>
      <c r="AE49">
        <v>0</v>
      </c>
      <c r="AF49">
        <v>0</v>
      </c>
      <c r="AG49">
        <f t="shared" si="0"/>
        <v>15</v>
      </c>
      <c r="AH49">
        <f t="shared" si="1"/>
        <v>4</v>
      </c>
      <c r="AI49">
        <f t="shared" si="2"/>
        <v>6</v>
      </c>
      <c r="AJ49">
        <f t="shared" si="3"/>
        <v>5</v>
      </c>
    </row>
    <row r="50" spans="1:36">
      <c r="A50" t="s">
        <v>196</v>
      </c>
      <c r="B50" t="s">
        <v>93</v>
      </c>
      <c r="C50">
        <v>1</v>
      </c>
      <c r="D50">
        <v>0</v>
      </c>
      <c r="E50">
        <v>1</v>
      </c>
      <c r="F50">
        <v>0</v>
      </c>
      <c r="G50">
        <v>0</v>
      </c>
      <c r="H50">
        <v>0</v>
      </c>
      <c r="I50">
        <v>0</v>
      </c>
      <c r="J50">
        <v>0</v>
      </c>
      <c r="K50">
        <v>1</v>
      </c>
      <c r="L50">
        <v>1</v>
      </c>
      <c r="M50">
        <v>1</v>
      </c>
      <c r="N50">
        <v>1</v>
      </c>
      <c r="O50">
        <v>0</v>
      </c>
      <c r="P50">
        <v>1</v>
      </c>
      <c r="Q50">
        <v>1</v>
      </c>
      <c r="R50">
        <v>0</v>
      </c>
      <c r="S50">
        <v>1</v>
      </c>
      <c r="T50">
        <v>0</v>
      </c>
      <c r="U50">
        <v>0</v>
      </c>
      <c r="V50">
        <v>1</v>
      </c>
      <c r="W50">
        <v>0</v>
      </c>
      <c r="X50">
        <v>0</v>
      </c>
      <c r="Y50">
        <v>0</v>
      </c>
      <c r="Z50">
        <v>0</v>
      </c>
      <c r="AA50">
        <v>1</v>
      </c>
      <c r="AB50">
        <v>0</v>
      </c>
      <c r="AC50">
        <v>0</v>
      </c>
      <c r="AD50">
        <v>1</v>
      </c>
      <c r="AE50">
        <v>0</v>
      </c>
      <c r="AF50">
        <v>0</v>
      </c>
      <c r="AG50">
        <f t="shared" si="0"/>
        <v>12</v>
      </c>
      <c r="AH50">
        <f t="shared" si="1"/>
        <v>4</v>
      </c>
      <c r="AI50">
        <f t="shared" si="2"/>
        <v>6</v>
      </c>
      <c r="AJ50">
        <f t="shared" si="3"/>
        <v>2</v>
      </c>
    </row>
    <row r="51" spans="1:36">
      <c r="A51" t="s">
        <v>197</v>
      </c>
      <c r="B51" t="s">
        <v>93</v>
      </c>
      <c r="C51">
        <v>0</v>
      </c>
      <c r="D51">
        <v>1</v>
      </c>
      <c r="E51">
        <v>0</v>
      </c>
      <c r="F51">
        <v>0</v>
      </c>
      <c r="G51">
        <v>1</v>
      </c>
      <c r="H51">
        <v>0</v>
      </c>
      <c r="I51">
        <v>1</v>
      </c>
      <c r="J51">
        <v>0</v>
      </c>
      <c r="K51">
        <v>1</v>
      </c>
      <c r="L51">
        <v>1</v>
      </c>
      <c r="M51">
        <v>1</v>
      </c>
      <c r="N51">
        <v>1</v>
      </c>
      <c r="O51">
        <v>0</v>
      </c>
      <c r="P51">
        <v>1</v>
      </c>
      <c r="Q51">
        <v>1</v>
      </c>
      <c r="R51">
        <v>0</v>
      </c>
      <c r="S51">
        <v>1</v>
      </c>
      <c r="T51">
        <v>1</v>
      </c>
      <c r="U51">
        <v>0</v>
      </c>
      <c r="V51">
        <v>0</v>
      </c>
      <c r="W51">
        <v>1</v>
      </c>
      <c r="X51">
        <v>0</v>
      </c>
      <c r="Y51">
        <v>1</v>
      </c>
      <c r="Z51">
        <v>0</v>
      </c>
      <c r="AA51">
        <v>0</v>
      </c>
      <c r="AB51">
        <v>0</v>
      </c>
      <c r="AC51">
        <v>0</v>
      </c>
      <c r="AD51">
        <v>0</v>
      </c>
      <c r="AE51">
        <v>0</v>
      </c>
      <c r="AF51">
        <v>0</v>
      </c>
      <c r="AG51">
        <f t="shared" si="0"/>
        <v>13</v>
      </c>
      <c r="AH51">
        <f t="shared" si="1"/>
        <v>5</v>
      </c>
      <c r="AI51">
        <f t="shared" si="2"/>
        <v>6</v>
      </c>
      <c r="AJ51">
        <f t="shared" si="3"/>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3"/>
  <sheetViews>
    <sheetView topLeftCell="AL1" zoomScaleNormal="100" workbookViewId="0">
      <selection activeCell="BE1" sqref="BE1:BE1048576"/>
    </sheetView>
  </sheetViews>
  <sheetFormatPr defaultRowHeight="15"/>
  <cols>
    <col min="2" max="2" width="16.28515625" customWidth="1"/>
  </cols>
  <sheetData>
    <row r="1" spans="1:57" ht="28.5" customHeight="1" thickBot="1">
      <c r="A1" s="1" t="s">
        <v>74</v>
      </c>
      <c r="B1" s="1" t="s">
        <v>84</v>
      </c>
      <c r="C1" s="4" t="s">
        <v>4</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22</v>
      </c>
      <c r="T1" s="4" t="s">
        <v>23</v>
      </c>
      <c r="U1" s="4" t="s">
        <v>24</v>
      </c>
      <c r="V1" s="4" t="s">
        <v>25</v>
      </c>
      <c r="W1" s="4" t="s">
        <v>26</v>
      </c>
      <c r="X1" s="4" t="s">
        <v>27</v>
      </c>
      <c r="Y1" s="4" t="s">
        <v>28</v>
      </c>
      <c r="Z1" s="4" t="s">
        <v>29</v>
      </c>
      <c r="AA1" s="4" t="s">
        <v>30</v>
      </c>
      <c r="AB1" s="4" t="s">
        <v>31</v>
      </c>
      <c r="AC1" s="4" t="s">
        <v>32</v>
      </c>
      <c r="AD1" s="4" t="s">
        <v>33</v>
      </c>
      <c r="AE1" s="4" t="s">
        <v>34</v>
      </c>
      <c r="AF1" s="4" t="s">
        <v>35</v>
      </c>
      <c r="AG1" s="4" t="s">
        <v>36</v>
      </c>
      <c r="AH1" s="4" t="s">
        <v>37</v>
      </c>
      <c r="AI1" s="4" t="s">
        <v>39</v>
      </c>
      <c r="AJ1" s="4" t="s">
        <v>40</v>
      </c>
      <c r="AK1" s="4" t="s">
        <v>41</v>
      </c>
      <c r="AL1" s="4" t="s">
        <v>42</v>
      </c>
      <c r="AM1" s="4" t="s">
        <v>43</v>
      </c>
      <c r="AN1" s="4" t="s">
        <v>44</v>
      </c>
      <c r="AO1" s="4" t="s">
        <v>45</v>
      </c>
      <c r="AP1" s="4" t="s">
        <v>46</v>
      </c>
      <c r="AQ1" s="4" t="s">
        <v>47</v>
      </c>
      <c r="AR1" s="4" t="s">
        <v>48</v>
      </c>
      <c r="AS1" s="4" t="s">
        <v>49</v>
      </c>
      <c r="AT1" s="4" t="s">
        <v>50</v>
      </c>
      <c r="AU1" s="4" t="s">
        <v>52</v>
      </c>
      <c r="AV1" s="4" t="s">
        <v>53</v>
      </c>
      <c r="AW1" s="4" t="s">
        <v>54</v>
      </c>
      <c r="AX1" s="4" t="s">
        <v>55</v>
      </c>
      <c r="AY1" s="4" t="s">
        <v>56</v>
      </c>
      <c r="AZ1" s="4" t="s">
        <v>57</v>
      </c>
      <c r="BA1" s="4" t="s">
        <v>58</v>
      </c>
      <c r="BB1" s="4" t="s">
        <v>59</v>
      </c>
      <c r="BC1" s="4" t="s">
        <v>60</v>
      </c>
      <c r="BD1" s="4" t="s">
        <v>61</v>
      </c>
      <c r="BE1" s="22" t="s">
        <v>75</v>
      </c>
    </row>
    <row r="2" spans="1:57" ht="15.75" thickBot="1">
      <c r="A2" s="15" t="s">
        <v>62</v>
      </c>
      <c r="B2" s="14" t="s">
        <v>1</v>
      </c>
      <c r="C2" s="5">
        <v>1</v>
      </c>
      <c r="D2" s="5">
        <v>0</v>
      </c>
      <c r="E2" s="5">
        <v>0</v>
      </c>
      <c r="F2" s="5">
        <v>0</v>
      </c>
      <c r="G2" s="5">
        <v>0</v>
      </c>
      <c r="H2" s="5">
        <v>0</v>
      </c>
      <c r="I2" s="5">
        <v>0</v>
      </c>
      <c r="J2" s="5">
        <v>0</v>
      </c>
      <c r="K2" s="5">
        <v>0</v>
      </c>
      <c r="L2" s="5">
        <v>0</v>
      </c>
      <c r="M2" s="5">
        <v>0</v>
      </c>
      <c r="N2" s="5">
        <v>1</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c r="AG2" s="5">
        <v>0</v>
      </c>
      <c r="AH2" s="5">
        <v>1</v>
      </c>
      <c r="AI2" s="5">
        <v>0</v>
      </c>
      <c r="AJ2" s="5">
        <v>0</v>
      </c>
      <c r="AK2" s="5">
        <v>0</v>
      </c>
      <c r="AL2" s="5">
        <v>0</v>
      </c>
      <c r="AM2" s="5">
        <v>1</v>
      </c>
      <c r="AN2" s="5">
        <v>0</v>
      </c>
      <c r="AO2" s="5">
        <v>1</v>
      </c>
      <c r="AP2" s="7">
        <v>0</v>
      </c>
      <c r="AQ2" s="5">
        <v>1</v>
      </c>
      <c r="AR2" s="5">
        <v>0</v>
      </c>
      <c r="AS2" s="5">
        <v>0</v>
      </c>
      <c r="AT2" s="5">
        <v>0</v>
      </c>
      <c r="AU2" s="5">
        <v>0</v>
      </c>
      <c r="AV2" s="5">
        <v>0</v>
      </c>
      <c r="AW2" s="5">
        <v>1</v>
      </c>
      <c r="AX2" s="5">
        <v>0</v>
      </c>
      <c r="AY2" s="5">
        <v>0</v>
      </c>
      <c r="AZ2" s="5">
        <v>0</v>
      </c>
      <c r="BA2" s="5">
        <v>0</v>
      </c>
      <c r="BB2" s="5">
        <v>0</v>
      </c>
      <c r="BC2" s="5">
        <v>0</v>
      </c>
      <c r="BD2" s="5">
        <v>0</v>
      </c>
      <c r="BE2">
        <f>SUM(C2:BD2)</f>
        <v>7</v>
      </c>
    </row>
    <row r="3" spans="1:57" ht="15.75" thickBot="1">
      <c r="A3" s="15" t="s">
        <v>63</v>
      </c>
      <c r="B3" s="14" t="s">
        <v>1</v>
      </c>
      <c r="C3" s="5">
        <v>1</v>
      </c>
      <c r="D3" s="5">
        <v>0</v>
      </c>
      <c r="E3" s="5">
        <v>0</v>
      </c>
      <c r="F3" s="5">
        <v>0</v>
      </c>
      <c r="G3" s="5">
        <v>0</v>
      </c>
      <c r="H3" s="5">
        <v>0</v>
      </c>
      <c r="I3" s="5">
        <v>0</v>
      </c>
      <c r="J3" s="5">
        <v>0</v>
      </c>
      <c r="K3" s="5">
        <v>0</v>
      </c>
      <c r="L3" s="5">
        <v>0</v>
      </c>
      <c r="M3" s="5">
        <v>0</v>
      </c>
      <c r="N3" s="5">
        <v>0</v>
      </c>
      <c r="O3" s="5">
        <v>0</v>
      </c>
      <c r="P3" s="5">
        <v>0</v>
      </c>
      <c r="Q3" s="5">
        <v>1</v>
      </c>
      <c r="R3" s="5">
        <v>0</v>
      </c>
      <c r="S3" s="5">
        <v>1</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1</v>
      </c>
      <c r="AN3" s="5">
        <v>0</v>
      </c>
      <c r="AO3" s="5">
        <v>1</v>
      </c>
      <c r="AP3" s="5">
        <v>1</v>
      </c>
      <c r="AQ3" s="5">
        <v>0</v>
      </c>
      <c r="AR3" s="5">
        <v>0</v>
      </c>
      <c r="AS3" s="5">
        <v>0</v>
      </c>
      <c r="AT3" s="5">
        <v>1</v>
      </c>
      <c r="AU3" s="5">
        <v>0</v>
      </c>
      <c r="AV3" s="5">
        <v>0</v>
      </c>
      <c r="AW3" s="5">
        <v>0</v>
      </c>
      <c r="AX3" s="5">
        <v>1</v>
      </c>
      <c r="AY3" s="5">
        <v>0</v>
      </c>
      <c r="AZ3" s="5">
        <v>0</v>
      </c>
      <c r="BA3" s="5">
        <v>0</v>
      </c>
      <c r="BB3" s="5">
        <v>0</v>
      </c>
      <c r="BC3" s="5">
        <v>0</v>
      </c>
      <c r="BD3" s="5">
        <v>0</v>
      </c>
      <c r="BE3">
        <f t="shared" ref="BE3:BE31" si="0">SUM(C3:BD3)</f>
        <v>8</v>
      </c>
    </row>
    <row r="4" spans="1:57" ht="15.75" thickBot="1">
      <c r="A4" s="15" t="s">
        <v>64</v>
      </c>
      <c r="B4" s="14" t="s">
        <v>1</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1</v>
      </c>
      <c r="AB4" s="5">
        <v>0</v>
      </c>
      <c r="AC4" s="5">
        <v>0</v>
      </c>
      <c r="AD4" s="5">
        <v>0</v>
      </c>
      <c r="AE4" s="5">
        <v>0</v>
      </c>
      <c r="AF4" s="5">
        <v>0</v>
      </c>
      <c r="AG4" s="5">
        <v>0</v>
      </c>
      <c r="AH4" s="5">
        <v>1</v>
      </c>
      <c r="AI4" s="5">
        <v>0</v>
      </c>
      <c r="AJ4" s="5">
        <v>0</v>
      </c>
      <c r="AK4" s="5">
        <v>0</v>
      </c>
      <c r="AL4" s="5">
        <v>0</v>
      </c>
      <c r="AM4" s="5">
        <v>0</v>
      </c>
      <c r="AN4" s="5">
        <v>0</v>
      </c>
      <c r="AO4" s="5">
        <v>0</v>
      </c>
      <c r="AP4" s="5">
        <v>0</v>
      </c>
      <c r="AQ4" s="5">
        <v>1</v>
      </c>
      <c r="AR4" s="5">
        <v>0</v>
      </c>
      <c r="AS4" s="5">
        <v>0</v>
      </c>
      <c r="AT4" s="5">
        <v>0</v>
      </c>
      <c r="AU4" s="5">
        <v>0</v>
      </c>
      <c r="AV4" s="5">
        <v>0</v>
      </c>
      <c r="AW4" s="5">
        <v>0</v>
      </c>
      <c r="AX4" s="5">
        <v>0</v>
      </c>
      <c r="AY4" s="5">
        <v>0</v>
      </c>
      <c r="AZ4" s="5">
        <v>0</v>
      </c>
      <c r="BA4" s="5">
        <v>0</v>
      </c>
      <c r="BB4" s="5">
        <v>0</v>
      </c>
      <c r="BC4" s="5">
        <v>0</v>
      </c>
      <c r="BD4" s="5">
        <v>1</v>
      </c>
      <c r="BE4">
        <f t="shared" si="0"/>
        <v>4</v>
      </c>
    </row>
    <row r="5" spans="1:57" ht="15.75" thickBot="1">
      <c r="A5" s="15" t="s">
        <v>65</v>
      </c>
      <c r="B5" s="14" t="s">
        <v>1</v>
      </c>
      <c r="C5" s="5">
        <v>0</v>
      </c>
      <c r="D5" s="5">
        <v>0</v>
      </c>
      <c r="E5" s="5">
        <v>0</v>
      </c>
      <c r="F5" s="5">
        <v>0</v>
      </c>
      <c r="G5" s="5">
        <v>1</v>
      </c>
      <c r="H5" s="5">
        <v>0</v>
      </c>
      <c r="I5" s="5">
        <v>0</v>
      </c>
      <c r="J5" s="5">
        <v>0</v>
      </c>
      <c r="K5" s="5">
        <v>0</v>
      </c>
      <c r="L5" s="5">
        <v>0</v>
      </c>
      <c r="M5" s="5">
        <v>0</v>
      </c>
      <c r="N5" s="5">
        <v>0</v>
      </c>
      <c r="O5" s="5">
        <v>0</v>
      </c>
      <c r="P5" s="5">
        <v>0</v>
      </c>
      <c r="Q5" s="5">
        <v>0</v>
      </c>
      <c r="R5" s="5">
        <v>0</v>
      </c>
      <c r="S5" s="5">
        <v>0</v>
      </c>
      <c r="T5" s="5">
        <v>0</v>
      </c>
      <c r="U5" s="5">
        <v>1</v>
      </c>
      <c r="V5" s="5">
        <v>0</v>
      </c>
      <c r="W5" s="5">
        <v>0</v>
      </c>
      <c r="X5" s="5">
        <v>1</v>
      </c>
      <c r="Y5" s="5">
        <v>0</v>
      </c>
      <c r="Z5" s="5">
        <v>0</v>
      </c>
      <c r="AA5" s="5">
        <v>0</v>
      </c>
      <c r="AB5" s="5">
        <v>0</v>
      </c>
      <c r="AC5" s="5">
        <v>1</v>
      </c>
      <c r="AD5" s="5">
        <v>0</v>
      </c>
      <c r="AE5" s="5">
        <v>0</v>
      </c>
      <c r="AF5" s="5">
        <v>0</v>
      </c>
      <c r="AG5" s="5">
        <v>0</v>
      </c>
      <c r="AH5" s="5">
        <v>0</v>
      </c>
      <c r="AI5" s="5">
        <v>1</v>
      </c>
      <c r="AJ5" s="5">
        <v>0</v>
      </c>
      <c r="AK5" s="5">
        <v>0</v>
      </c>
      <c r="AL5" s="5">
        <v>0</v>
      </c>
      <c r="AM5" s="5">
        <v>1</v>
      </c>
      <c r="AN5" s="5">
        <v>0</v>
      </c>
      <c r="AO5" s="5">
        <v>0</v>
      </c>
      <c r="AP5" s="5">
        <v>1</v>
      </c>
      <c r="AQ5" s="5">
        <v>0</v>
      </c>
      <c r="AR5" s="5">
        <v>0</v>
      </c>
      <c r="AS5" s="5">
        <v>0</v>
      </c>
      <c r="AT5" s="5">
        <v>0</v>
      </c>
      <c r="AU5" s="5">
        <v>0</v>
      </c>
      <c r="AV5" s="5">
        <v>0</v>
      </c>
      <c r="AW5" s="5">
        <v>0</v>
      </c>
      <c r="AX5" s="5">
        <v>0</v>
      </c>
      <c r="AY5" s="5">
        <v>0</v>
      </c>
      <c r="AZ5" s="5">
        <v>0</v>
      </c>
      <c r="BA5" s="5">
        <v>0</v>
      </c>
      <c r="BB5" s="5">
        <v>0</v>
      </c>
      <c r="BC5" s="5">
        <v>0</v>
      </c>
      <c r="BD5" s="5">
        <v>0</v>
      </c>
      <c r="BE5">
        <f t="shared" si="0"/>
        <v>7</v>
      </c>
    </row>
    <row r="6" spans="1:57" ht="15.75" thickBot="1">
      <c r="A6" s="15" t="s">
        <v>66</v>
      </c>
      <c r="B6" s="14" t="s">
        <v>1</v>
      </c>
      <c r="C6" s="5">
        <v>1</v>
      </c>
      <c r="D6" s="5">
        <v>0</v>
      </c>
      <c r="E6" s="5">
        <v>0</v>
      </c>
      <c r="F6" s="5">
        <v>0</v>
      </c>
      <c r="G6" s="5">
        <v>0</v>
      </c>
      <c r="H6" s="5">
        <v>0</v>
      </c>
      <c r="I6" s="5">
        <v>0</v>
      </c>
      <c r="J6" s="5">
        <v>1</v>
      </c>
      <c r="K6" s="5">
        <v>0</v>
      </c>
      <c r="L6" s="5">
        <v>0</v>
      </c>
      <c r="M6" s="5">
        <v>0</v>
      </c>
      <c r="N6" s="5">
        <v>0</v>
      </c>
      <c r="O6" s="5">
        <v>0</v>
      </c>
      <c r="P6" s="5">
        <v>0</v>
      </c>
      <c r="Q6" s="5">
        <v>0</v>
      </c>
      <c r="R6" s="5">
        <v>1</v>
      </c>
      <c r="S6" s="5">
        <v>0</v>
      </c>
      <c r="T6" s="5">
        <v>0</v>
      </c>
      <c r="U6" s="5">
        <v>0</v>
      </c>
      <c r="V6" s="5">
        <v>1</v>
      </c>
      <c r="W6" s="5">
        <v>0</v>
      </c>
      <c r="X6" s="5">
        <v>0</v>
      </c>
      <c r="Y6" s="5">
        <v>0</v>
      </c>
      <c r="Z6" s="5">
        <v>1</v>
      </c>
      <c r="AA6" s="5">
        <v>0</v>
      </c>
      <c r="AB6" s="5">
        <v>0</v>
      </c>
      <c r="AC6" s="5">
        <v>0</v>
      </c>
      <c r="AD6" s="5">
        <v>0</v>
      </c>
      <c r="AE6" s="5">
        <v>1</v>
      </c>
      <c r="AF6" s="5">
        <v>1</v>
      </c>
      <c r="AG6" s="5">
        <v>0</v>
      </c>
      <c r="AH6" s="5">
        <v>0</v>
      </c>
      <c r="AI6" s="5">
        <v>0</v>
      </c>
      <c r="AJ6" s="5">
        <v>0</v>
      </c>
      <c r="AK6" s="5">
        <v>0</v>
      </c>
      <c r="AL6" s="5">
        <v>0</v>
      </c>
      <c r="AM6" s="5">
        <v>1</v>
      </c>
      <c r="AN6" s="5">
        <v>0</v>
      </c>
      <c r="AO6" s="5">
        <v>1</v>
      </c>
      <c r="AP6" s="5">
        <v>1</v>
      </c>
      <c r="AQ6" s="5">
        <v>0</v>
      </c>
      <c r="AR6" s="5">
        <v>0</v>
      </c>
      <c r="AS6" s="5">
        <v>1</v>
      </c>
      <c r="AT6" s="5">
        <v>0</v>
      </c>
      <c r="AU6" s="5">
        <v>0</v>
      </c>
      <c r="AV6" s="5">
        <v>0</v>
      </c>
      <c r="AW6" s="5">
        <v>0</v>
      </c>
      <c r="AX6" s="5">
        <v>0</v>
      </c>
      <c r="AY6" s="5">
        <v>0</v>
      </c>
      <c r="AZ6" s="5">
        <v>0</v>
      </c>
      <c r="BA6" s="5">
        <v>0</v>
      </c>
      <c r="BB6" s="5">
        <v>0</v>
      </c>
      <c r="BC6" s="5">
        <v>0</v>
      </c>
      <c r="BD6" s="5">
        <v>0</v>
      </c>
      <c r="BE6">
        <f t="shared" si="0"/>
        <v>11</v>
      </c>
    </row>
    <row r="7" spans="1:57" ht="15.75" thickBot="1">
      <c r="A7" s="15" t="s">
        <v>67</v>
      </c>
      <c r="B7" s="14" t="s">
        <v>1</v>
      </c>
      <c r="C7" s="5">
        <v>0</v>
      </c>
      <c r="D7" s="5">
        <v>0</v>
      </c>
      <c r="E7" s="5">
        <v>1</v>
      </c>
      <c r="F7" s="5">
        <v>0</v>
      </c>
      <c r="G7" s="5">
        <v>0</v>
      </c>
      <c r="H7" s="5">
        <v>0</v>
      </c>
      <c r="I7" s="5">
        <v>0</v>
      </c>
      <c r="J7" s="5">
        <v>0</v>
      </c>
      <c r="K7" s="5">
        <v>0</v>
      </c>
      <c r="L7" s="5">
        <v>0</v>
      </c>
      <c r="M7" s="5">
        <v>1</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1</v>
      </c>
      <c r="AM7" s="5">
        <v>0</v>
      </c>
      <c r="AN7" s="5">
        <v>0</v>
      </c>
      <c r="AO7" s="5">
        <v>0</v>
      </c>
      <c r="AP7" s="5">
        <v>0</v>
      </c>
      <c r="AQ7" s="5">
        <v>0</v>
      </c>
      <c r="AR7" s="5">
        <v>0</v>
      </c>
      <c r="AS7" s="5">
        <v>0</v>
      </c>
      <c r="AT7" s="5">
        <v>1</v>
      </c>
      <c r="AU7" s="5">
        <v>0</v>
      </c>
      <c r="AV7" s="5">
        <v>0</v>
      </c>
      <c r="AW7" s="5">
        <v>0</v>
      </c>
      <c r="AX7" s="5">
        <v>0</v>
      </c>
      <c r="AY7" s="5">
        <v>0</v>
      </c>
      <c r="AZ7" s="5">
        <v>0</v>
      </c>
      <c r="BA7" s="5">
        <v>0</v>
      </c>
      <c r="BB7" s="5">
        <v>1</v>
      </c>
      <c r="BC7" s="5">
        <v>0</v>
      </c>
      <c r="BD7" s="5">
        <v>0</v>
      </c>
      <c r="BE7">
        <f t="shared" si="0"/>
        <v>5</v>
      </c>
    </row>
    <row r="8" spans="1:57" ht="15.75" thickBot="1">
      <c r="A8" s="15" t="s">
        <v>68</v>
      </c>
      <c r="B8" s="14" t="s">
        <v>1</v>
      </c>
      <c r="C8" s="5">
        <v>1</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1</v>
      </c>
      <c r="AR8" s="5">
        <v>0</v>
      </c>
      <c r="AS8" s="5">
        <v>0</v>
      </c>
      <c r="AT8" s="5">
        <v>0</v>
      </c>
      <c r="AU8" s="5">
        <v>0</v>
      </c>
      <c r="AV8" s="5">
        <v>0</v>
      </c>
      <c r="AW8" s="5">
        <v>0</v>
      </c>
      <c r="AX8" s="5">
        <v>0</v>
      </c>
      <c r="AY8" s="5">
        <v>0</v>
      </c>
      <c r="AZ8" s="5">
        <v>0</v>
      </c>
      <c r="BA8" s="5">
        <v>0</v>
      </c>
      <c r="BB8" s="5">
        <v>0</v>
      </c>
      <c r="BC8" s="5">
        <v>0</v>
      </c>
      <c r="BD8" s="5">
        <v>0</v>
      </c>
      <c r="BE8">
        <f t="shared" si="0"/>
        <v>2</v>
      </c>
    </row>
    <row r="9" spans="1:57" ht="15.75" thickBot="1">
      <c r="A9" s="15" t="s">
        <v>69</v>
      </c>
      <c r="B9" s="14" t="s">
        <v>1</v>
      </c>
      <c r="C9" s="5">
        <v>1</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f t="shared" si="0"/>
        <v>1</v>
      </c>
    </row>
    <row r="10" spans="1:57" ht="15.75" thickBot="1">
      <c r="A10" s="15" t="s">
        <v>70</v>
      </c>
      <c r="B10" s="14" t="s">
        <v>1</v>
      </c>
      <c r="C10" s="5">
        <v>1</v>
      </c>
      <c r="D10" s="5">
        <v>0</v>
      </c>
      <c r="E10" s="5">
        <v>0</v>
      </c>
      <c r="F10" s="5">
        <v>1</v>
      </c>
      <c r="G10" s="5">
        <v>0</v>
      </c>
      <c r="H10" s="5">
        <v>0</v>
      </c>
      <c r="I10" s="5">
        <v>0</v>
      </c>
      <c r="J10" s="5">
        <v>0</v>
      </c>
      <c r="K10" s="5">
        <v>0</v>
      </c>
      <c r="L10" s="5">
        <v>1</v>
      </c>
      <c r="M10" s="5">
        <v>0</v>
      </c>
      <c r="N10" s="5">
        <v>1</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1</v>
      </c>
      <c r="AP10" s="5">
        <v>0</v>
      </c>
      <c r="AQ10" s="5">
        <v>0</v>
      </c>
      <c r="AR10" s="5">
        <v>0</v>
      </c>
      <c r="AS10" s="5">
        <v>0</v>
      </c>
      <c r="AT10" s="5">
        <v>0</v>
      </c>
      <c r="AU10" s="5">
        <v>0</v>
      </c>
      <c r="AV10" s="5">
        <v>0</v>
      </c>
      <c r="AW10" s="5">
        <v>0</v>
      </c>
      <c r="AX10" s="5">
        <v>0</v>
      </c>
      <c r="AY10" s="5">
        <v>0</v>
      </c>
      <c r="AZ10" s="5">
        <v>1</v>
      </c>
      <c r="BA10" s="5">
        <v>0</v>
      </c>
      <c r="BB10" s="5">
        <v>0</v>
      </c>
      <c r="BC10" s="5">
        <v>0</v>
      </c>
      <c r="BD10" s="5">
        <v>1</v>
      </c>
      <c r="BE10">
        <f t="shared" si="0"/>
        <v>7</v>
      </c>
    </row>
    <row r="11" spans="1:57" ht="15.75" thickBot="1">
      <c r="A11" s="15" t="s">
        <v>71</v>
      </c>
      <c r="B11" s="14" t="s">
        <v>1</v>
      </c>
      <c r="C11" s="5">
        <v>0</v>
      </c>
      <c r="D11" s="5">
        <v>1</v>
      </c>
      <c r="E11" s="5">
        <v>0</v>
      </c>
      <c r="F11" s="5">
        <v>0</v>
      </c>
      <c r="G11" s="5">
        <v>0</v>
      </c>
      <c r="H11" s="5">
        <v>0</v>
      </c>
      <c r="I11" s="5">
        <v>1</v>
      </c>
      <c r="J11" s="5">
        <v>1</v>
      </c>
      <c r="K11" s="5">
        <v>0</v>
      </c>
      <c r="L11" s="5">
        <v>1</v>
      </c>
      <c r="M11" s="5">
        <v>1</v>
      </c>
      <c r="N11" s="5">
        <v>0</v>
      </c>
      <c r="O11" s="5">
        <v>1</v>
      </c>
      <c r="P11" s="5">
        <v>0</v>
      </c>
      <c r="Q11" s="5">
        <v>0</v>
      </c>
      <c r="R11" s="5">
        <v>0</v>
      </c>
      <c r="S11" s="5">
        <v>0</v>
      </c>
      <c r="T11" s="5">
        <v>0</v>
      </c>
      <c r="U11" s="5">
        <v>0</v>
      </c>
      <c r="V11" s="5">
        <v>0</v>
      </c>
      <c r="W11" s="5">
        <v>0</v>
      </c>
      <c r="X11" s="5">
        <v>0</v>
      </c>
      <c r="Y11" s="5">
        <v>0</v>
      </c>
      <c r="Z11" s="5">
        <v>0</v>
      </c>
      <c r="AA11" s="5">
        <v>0</v>
      </c>
      <c r="AB11" s="5">
        <v>0</v>
      </c>
      <c r="AC11" s="5">
        <v>0</v>
      </c>
      <c r="AD11" s="5">
        <v>1</v>
      </c>
      <c r="AE11" s="5">
        <v>0</v>
      </c>
      <c r="AF11" s="5">
        <v>0</v>
      </c>
      <c r="AG11" s="5">
        <v>0</v>
      </c>
      <c r="AH11" s="5">
        <v>0</v>
      </c>
      <c r="AI11" s="5">
        <v>0</v>
      </c>
      <c r="AJ11" s="5">
        <v>0</v>
      </c>
      <c r="AK11" s="5">
        <v>0</v>
      </c>
      <c r="AL11" s="5">
        <v>0</v>
      </c>
      <c r="AM11" s="5">
        <v>1</v>
      </c>
      <c r="AN11" s="5">
        <v>1</v>
      </c>
      <c r="AO11" s="5">
        <v>1</v>
      </c>
      <c r="AP11" s="5">
        <v>0</v>
      </c>
      <c r="AQ11" s="5">
        <v>1</v>
      </c>
      <c r="AR11" s="5">
        <v>0</v>
      </c>
      <c r="AS11" s="5">
        <v>0</v>
      </c>
      <c r="AT11" s="5">
        <v>0</v>
      </c>
      <c r="AU11" s="5">
        <v>0</v>
      </c>
      <c r="AV11" s="5">
        <v>0</v>
      </c>
      <c r="AW11" s="5">
        <v>1</v>
      </c>
      <c r="AX11" s="5">
        <v>0</v>
      </c>
      <c r="AY11" s="5">
        <v>0</v>
      </c>
      <c r="AZ11" s="5">
        <v>0</v>
      </c>
      <c r="BA11" s="5">
        <v>0</v>
      </c>
      <c r="BB11" s="5">
        <v>0</v>
      </c>
      <c r="BC11" s="5">
        <v>0</v>
      </c>
      <c r="BD11" s="5">
        <v>0</v>
      </c>
      <c r="BE11">
        <f t="shared" si="0"/>
        <v>12</v>
      </c>
    </row>
    <row r="12" spans="1:57" ht="19.5" customHeight="1" thickBot="1">
      <c r="A12" s="15" t="s">
        <v>62</v>
      </c>
      <c r="B12" s="14" t="s">
        <v>76</v>
      </c>
      <c r="C12" s="5">
        <v>1</v>
      </c>
      <c r="D12" s="5">
        <v>0</v>
      </c>
      <c r="E12" s="5">
        <v>0</v>
      </c>
      <c r="F12" s="5">
        <v>0</v>
      </c>
      <c r="G12" s="5">
        <v>0</v>
      </c>
      <c r="H12" s="5">
        <v>0</v>
      </c>
      <c r="I12" s="5">
        <v>0</v>
      </c>
      <c r="J12" s="5">
        <v>1</v>
      </c>
      <c r="K12" s="5">
        <v>0</v>
      </c>
      <c r="L12" s="5">
        <v>1</v>
      </c>
      <c r="M12" s="5">
        <v>0</v>
      </c>
      <c r="N12" s="5">
        <v>0</v>
      </c>
      <c r="O12" s="5">
        <v>0</v>
      </c>
      <c r="P12" s="5">
        <v>0</v>
      </c>
      <c r="Q12" s="5">
        <v>0</v>
      </c>
      <c r="R12" s="5">
        <v>0</v>
      </c>
      <c r="S12" s="5">
        <v>0</v>
      </c>
      <c r="T12" s="5">
        <v>0</v>
      </c>
      <c r="U12" s="5">
        <v>1</v>
      </c>
      <c r="V12" s="5">
        <v>0</v>
      </c>
      <c r="W12" s="5">
        <v>0</v>
      </c>
      <c r="X12" s="5">
        <v>0</v>
      </c>
      <c r="Y12" s="5">
        <v>1</v>
      </c>
      <c r="Z12" s="5">
        <v>0</v>
      </c>
      <c r="AA12" s="5">
        <v>0</v>
      </c>
      <c r="AB12" s="5">
        <v>1</v>
      </c>
      <c r="AC12" s="5">
        <v>1</v>
      </c>
      <c r="AD12" s="5">
        <v>0</v>
      </c>
      <c r="AE12" s="5">
        <v>0</v>
      </c>
      <c r="AF12" s="5">
        <v>0</v>
      </c>
      <c r="AG12" s="5">
        <v>0</v>
      </c>
      <c r="AH12" s="5">
        <v>0</v>
      </c>
      <c r="AI12" s="5">
        <v>0</v>
      </c>
      <c r="AJ12" s="5">
        <v>1</v>
      </c>
      <c r="AK12" s="5">
        <v>0</v>
      </c>
      <c r="AL12" s="5">
        <v>0</v>
      </c>
      <c r="AM12" s="5">
        <v>1</v>
      </c>
      <c r="AN12" s="5">
        <v>0</v>
      </c>
      <c r="AO12" s="5">
        <v>0</v>
      </c>
      <c r="AP12" s="5">
        <v>0</v>
      </c>
      <c r="AQ12" s="5">
        <v>0</v>
      </c>
      <c r="AR12" s="5">
        <v>1</v>
      </c>
      <c r="AS12" s="5">
        <v>0</v>
      </c>
      <c r="AT12" s="5">
        <v>0</v>
      </c>
      <c r="AU12" s="5">
        <v>0</v>
      </c>
      <c r="AV12" s="5">
        <v>0</v>
      </c>
      <c r="AW12" s="5">
        <v>0</v>
      </c>
      <c r="AX12" s="5">
        <v>1</v>
      </c>
      <c r="AY12" s="5">
        <v>0</v>
      </c>
      <c r="AZ12" s="5">
        <v>0</v>
      </c>
      <c r="BA12" s="5">
        <v>0</v>
      </c>
      <c r="BB12" s="5">
        <v>0</v>
      </c>
      <c r="BC12" s="5">
        <v>1</v>
      </c>
      <c r="BD12" s="5">
        <v>0</v>
      </c>
      <c r="BE12">
        <f t="shared" si="0"/>
        <v>12</v>
      </c>
    </row>
    <row r="13" spans="1:57" ht="15.75" thickBot="1">
      <c r="A13" s="15" t="s">
        <v>63</v>
      </c>
      <c r="B13" s="14" t="s">
        <v>76</v>
      </c>
      <c r="C13" s="5">
        <v>1</v>
      </c>
      <c r="D13" s="5">
        <v>0</v>
      </c>
      <c r="E13" s="5">
        <v>0</v>
      </c>
      <c r="F13" s="5">
        <v>0</v>
      </c>
      <c r="G13" s="5">
        <v>0</v>
      </c>
      <c r="H13" s="5">
        <v>0</v>
      </c>
      <c r="I13" s="5">
        <v>0</v>
      </c>
      <c r="J13" s="5">
        <v>1</v>
      </c>
      <c r="K13" s="5">
        <v>1</v>
      </c>
      <c r="L13" s="5">
        <v>0</v>
      </c>
      <c r="M13" s="5">
        <v>1</v>
      </c>
      <c r="N13" s="5">
        <v>0</v>
      </c>
      <c r="O13" s="5">
        <v>0</v>
      </c>
      <c r="P13" s="5">
        <v>0</v>
      </c>
      <c r="Q13" s="5">
        <v>1</v>
      </c>
      <c r="R13" s="5">
        <v>0</v>
      </c>
      <c r="S13" s="5">
        <v>1</v>
      </c>
      <c r="T13" s="5">
        <v>1</v>
      </c>
      <c r="U13" s="5">
        <v>1</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c r="AR13" s="5">
        <v>1</v>
      </c>
      <c r="AS13" s="5">
        <v>0</v>
      </c>
      <c r="AT13" s="5">
        <v>0</v>
      </c>
      <c r="AU13" s="5">
        <v>0</v>
      </c>
      <c r="AV13" s="5">
        <v>0</v>
      </c>
      <c r="AW13" s="5">
        <v>0</v>
      </c>
      <c r="AX13" s="5">
        <v>0</v>
      </c>
      <c r="AY13" s="5">
        <v>0</v>
      </c>
      <c r="AZ13" s="5">
        <v>0</v>
      </c>
      <c r="BA13" s="5">
        <v>0</v>
      </c>
      <c r="BB13" s="5">
        <v>0</v>
      </c>
      <c r="BC13" s="5">
        <v>0</v>
      </c>
      <c r="BD13" s="5">
        <v>1</v>
      </c>
      <c r="BE13">
        <f t="shared" si="0"/>
        <v>10</v>
      </c>
    </row>
    <row r="14" spans="1:57" ht="15.75" thickBot="1">
      <c r="A14" s="15" t="s">
        <v>64</v>
      </c>
      <c r="B14" s="14" t="s">
        <v>76</v>
      </c>
      <c r="C14" s="5">
        <v>1</v>
      </c>
      <c r="D14" s="5">
        <v>0</v>
      </c>
      <c r="E14" s="5">
        <v>0</v>
      </c>
      <c r="F14" s="5">
        <v>0</v>
      </c>
      <c r="G14" s="5">
        <v>0</v>
      </c>
      <c r="H14" s="5">
        <v>0</v>
      </c>
      <c r="I14" s="5">
        <v>0</v>
      </c>
      <c r="J14" s="5">
        <v>0</v>
      </c>
      <c r="K14" s="5">
        <v>0</v>
      </c>
      <c r="L14" s="5">
        <v>0</v>
      </c>
      <c r="M14" s="5">
        <v>0</v>
      </c>
      <c r="N14" s="5">
        <v>0</v>
      </c>
      <c r="O14" s="5">
        <v>0</v>
      </c>
      <c r="P14" s="5">
        <v>0</v>
      </c>
      <c r="Q14" s="5">
        <v>0</v>
      </c>
      <c r="R14" s="5">
        <v>0</v>
      </c>
      <c r="S14" s="5">
        <v>1</v>
      </c>
      <c r="T14" s="5">
        <v>1</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1</v>
      </c>
      <c r="AM14" s="5">
        <v>1</v>
      </c>
      <c r="AN14" s="5">
        <v>0</v>
      </c>
      <c r="AO14" s="5">
        <v>0</v>
      </c>
      <c r="AP14" s="5">
        <v>0</v>
      </c>
      <c r="AQ14" s="5">
        <v>0</v>
      </c>
      <c r="AR14" s="5">
        <v>0</v>
      </c>
      <c r="AS14" s="5">
        <v>0</v>
      </c>
      <c r="AT14" s="5">
        <v>0</v>
      </c>
      <c r="AU14" s="5">
        <v>0</v>
      </c>
      <c r="AV14" s="5">
        <v>0</v>
      </c>
      <c r="AW14" s="5">
        <v>0</v>
      </c>
      <c r="AX14" s="5">
        <v>0</v>
      </c>
      <c r="AY14" s="5">
        <v>0</v>
      </c>
      <c r="AZ14" s="5">
        <v>0</v>
      </c>
      <c r="BA14" s="5">
        <v>0</v>
      </c>
      <c r="BB14" s="5">
        <v>1</v>
      </c>
      <c r="BC14" s="5">
        <v>0</v>
      </c>
      <c r="BD14" s="5">
        <v>1</v>
      </c>
      <c r="BE14">
        <f t="shared" si="0"/>
        <v>7</v>
      </c>
    </row>
    <row r="15" spans="1:57" ht="15.75" thickBot="1">
      <c r="A15" s="15" t="s">
        <v>65</v>
      </c>
      <c r="B15" s="14" t="s">
        <v>76</v>
      </c>
      <c r="C15" s="5">
        <v>0</v>
      </c>
      <c r="D15" s="5">
        <v>0</v>
      </c>
      <c r="E15" s="5">
        <v>0</v>
      </c>
      <c r="F15" s="5">
        <v>0</v>
      </c>
      <c r="G15" s="5">
        <v>0</v>
      </c>
      <c r="H15" s="5">
        <v>1</v>
      </c>
      <c r="I15" s="5">
        <v>0</v>
      </c>
      <c r="J15" s="5">
        <v>1</v>
      </c>
      <c r="K15" s="5">
        <v>0</v>
      </c>
      <c r="L15" s="5">
        <v>1</v>
      </c>
      <c r="M15" s="5">
        <v>1</v>
      </c>
      <c r="N15" s="5">
        <v>1</v>
      </c>
      <c r="O15" s="5">
        <v>0</v>
      </c>
      <c r="P15" s="5">
        <v>0</v>
      </c>
      <c r="Q15" s="5">
        <v>0</v>
      </c>
      <c r="R15" s="5">
        <v>0</v>
      </c>
      <c r="S15" s="5">
        <v>0</v>
      </c>
      <c r="T15" s="5">
        <v>0</v>
      </c>
      <c r="U15" s="5">
        <v>0</v>
      </c>
      <c r="V15" s="5">
        <v>0</v>
      </c>
      <c r="W15" s="5">
        <v>0</v>
      </c>
      <c r="X15" s="5">
        <v>0</v>
      </c>
      <c r="Y15" s="5">
        <v>0</v>
      </c>
      <c r="Z15" s="5">
        <v>0</v>
      </c>
      <c r="AA15" s="5">
        <v>0</v>
      </c>
      <c r="AB15" s="5">
        <v>0</v>
      </c>
      <c r="AC15" s="5">
        <v>0</v>
      </c>
      <c r="AD15" s="5">
        <v>0</v>
      </c>
      <c r="AE15" s="5">
        <v>1</v>
      </c>
      <c r="AF15" s="5">
        <v>0</v>
      </c>
      <c r="AG15" s="5">
        <v>0</v>
      </c>
      <c r="AH15" s="5">
        <v>0</v>
      </c>
      <c r="AI15" s="5">
        <v>0</v>
      </c>
      <c r="AJ15" s="5">
        <v>0</v>
      </c>
      <c r="AK15" s="5">
        <v>1</v>
      </c>
      <c r="AL15" s="5">
        <v>0</v>
      </c>
      <c r="AM15" s="5">
        <v>1</v>
      </c>
      <c r="AN15" s="5">
        <v>0</v>
      </c>
      <c r="AO15" s="5">
        <v>0</v>
      </c>
      <c r="AP15" s="5">
        <v>0</v>
      </c>
      <c r="AQ15" s="5">
        <v>0</v>
      </c>
      <c r="AR15" s="5">
        <v>0</v>
      </c>
      <c r="AS15" s="5">
        <v>0</v>
      </c>
      <c r="AT15" s="5">
        <v>0</v>
      </c>
      <c r="AU15" s="5">
        <v>1</v>
      </c>
      <c r="AV15" s="5">
        <v>0</v>
      </c>
      <c r="AW15" s="5">
        <v>0</v>
      </c>
      <c r="AX15" s="5">
        <v>0</v>
      </c>
      <c r="AY15" s="5">
        <v>0</v>
      </c>
      <c r="AZ15" s="5">
        <v>0</v>
      </c>
      <c r="BA15" s="5">
        <v>0</v>
      </c>
      <c r="BB15" s="5">
        <v>0</v>
      </c>
      <c r="BC15" s="5">
        <v>0</v>
      </c>
      <c r="BD15" s="5">
        <v>0</v>
      </c>
      <c r="BE15">
        <f t="shared" si="0"/>
        <v>9</v>
      </c>
    </row>
    <row r="16" spans="1:57" ht="15.75" thickBot="1">
      <c r="A16" s="15" t="s">
        <v>66</v>
      </c>
      <c r="B16" s="14" t="s">
        <v>76</v>
      </c>
      <c r="C16" s="5">
        <v>1</v>
      </c>
      <c r="D16" s="5">
        <v>0</v>
      </c>
      <c r="E16" s="5">
        <v>1</v>
      </c>
      <c r="F16" s="5">
        <v>0</v>
      </c>
      <c r="G16" s="5">
        <v>0</v>
      </c>
      <c r="H16" s="5">
        <v>0</v>
      </c>
      <c r="I16" s="5">
        <v>0</v>
      </c>
      <c r="J16" s="5">
        <v>0</v>
      </c>
      <c r="K16" s="5">
        <v>0</v>
      </c>
      <c r="L16" s="5">
        <v>0</v>
      </c>
      <c r="M16" s="5">
        <v>1</v>
      </c>
      <c r="N16" s="5">
        <v>0</v>
      </c>
      <c r="O16" s="5">
        <v>0</v>
      </c>
      <c r="P16" s="5">
        <v>0</v>
      </c>
      <c r="Q16" s="5">
        <v>0</v>
      </c>
      <c r="R16" s="5">
        <v>0</v>
      </c>
      <c r="S16" s="5">
        <v>1</v>
      </c>
      <c r="T16" s="5">
        <v>1</v>
      </c>
      <c r="U16" s="5">
        <v>0</v>
      </c>
      <c r="V16" s="5">
        <v>0</v>
      </c>
      <c r="W16" s="5">
        <v>0</v>
      </c>
      <c r="X16" s="5">
        <v>0</v>
      </c>
      <c r="Y16" s="5">
        <v>0</v>
      </c>
      <c r="Z16" s="5">
        <v>1</v>
      </c>
      <c r="AA16" s="5">
        <v>0</v>
      </c>
      <c r="AB16" s="5">
        <v>0</v>
      </c>
      <c r="AC16" s="5">
        <v>0</v>
      </c>
      <c r="AD16" s="5">
        <v>0</v>
      </c>
      <c r="AE16" s="5">
        <v>0</v>
      </c>
      <c r="AF16" s="5">
        <v>0</v>
      </c>
      <c r="AG16" s="5">
        <v>0</v>
      </c>
      <c r="AH16" s="5">
        <v>0</v>
      </c>
      <c r="AI16" s="5">
        <v>1</v>
      </c>
      <c r="AJ16" s="5">
        <v>0</v>
      </c>
      <c r="AK16" s="5">
        <v>0</v>
      </c>
      <c r="AL16" s="5">
        <v>0</v>
      </c>
      <c r="AM16" s="5">
        <v>1</v>
      </c>
      <c r="AN16" s="5">
        <v>0</v>
      </c>
      <c r="AO16" s="5">
        <v>0</v>
      </c>
      <c r="AP16" s="5">
        <v>0</v>
      </c>
      <c r="AQ16" s="5">
        <v>0</v>
      </c>
      <c r="AR16" s="5">
        <v>0</v>
      </c>
      <c r="AS16" s="5">
        <v>0</v>
      </c>
      <c r="AT16" s="5">
        <v>0</v>
      </c>
      <c r="AU16" s="5">
        <v>0</v>
      </c>
      <c r="AV16" s="5">
        <v>0</v>
      </c>
      <c r="AW16" s="5">
        <v>0</v>
      </c>
      <c r="AX16" s="5">
        <v>0</v>
      </c>
      <c r="AY16" s="5">
        <v>0</v>
      </c>
      <c r="AZ16" s="5">
        <v>0</v>
      </c>
      <c r="BA16" s="5">
        <v>0</v>
      </c>
      <c r="BB16" s="5">
        <v>0</v>
      </c>
      <c r="BC16" s="5">
        <v>1</v>
      </c>
      <c r="BD16" s="5">
        <v>1</v>
      </c>
      <c r="BE16">
        <f t="shared" si="0"/>
        <v>10</v>
      </c>
    </row>
    <row r="17" spans="1:57" ht="15.75" thickBot="1">
      <c r="A17" s="15" t="s">
        <v>67</v>
      </c>
      <c r="B17" s="14" t="s">
        <v>76</v>
      </c>
      <c r="C17" s="5">
        <v>0</v>
      </c>
      <c r="D17" s="5">
        <v>0</v>
      </c>
      <c r="E17" s="5">
        <v>1</v>
      </c>
      <c r="F17" s="5">
        <v>0</v>
      </c>
      <c r="G17" s="5">
        <v>0</v>
      </c>
      <c r="H17" s="5">
        <v>1</v>
      </c>
      <c r="I17" s="5">
        <v>0</v>
      </c>
      <c r="J17" s="5">
        <v>0</v>
      </c>
      <c r="K17" s="5">
        <v>1</v>
      </c>
      <c r="L17" s="5">
        <v>0</v>
      </c>
      <c r="M17" s="5">
        <v>1</v>
      </c>
      <c r="N17" s="5">
        <v>0</v>
      </c>
      <c r="O17" s="5">
        <v>0</v>
      </c>
      <c r="P17" s="5">
        <v>0</v>
      </c>
      <c r="Q17" s="5">
        <v>0</v>
      </c>
      <c r="R17" s="5">
        <v>0</v>
      </c>
      <c r="S17" s="5">
        <v>0</v>
      </c>
      <c r="T17" s="5">
        <v>1</v>
      </c>
      <c r="U17" s="5">
        <v>0</v>
      </c>
      <c r="V17" s="5">
        <v>0</v>
      </c>
      <c r="W17" s="5">
        <v>0</v>
      </c>
      <c r="X17" s="5">
        <v>0</v>
      </c>
      <c r="Y17" s="5">
        <v>0</v>
      </c>
      <c r="Z17" s="5">
        <v>0</v>
      </c>
      <c r="AA17" s="5">
        <v>0</v>
      </c>
      <c r="AB17" s="5">
        <v>0</v>
      </c>
      <c r="AC17" s="5">
        <v>0</v>
      </c>
      <c r="AD17" s="5">
        <v>0</v>
      </c>
      <c r="AE17" s="5">
        <v>0</v>
      </c>
      <c r="AF17" s="5">
        <v>1</v>
      </c>
      <c r="AG17" s="5">
        <v>1</v>
      </c>
      <c r="AH17" s="5">
        <v>0</v>
      </c>
      <c r="AI17" s="5">
        <v>0</v>
      </c>
      <c r="AJ17" s="5">
        <v>0</v>
      </c>
      <c r="AK17" s="5">
        <v>1</v>
      </c>
      <c r="AL17" s="5">
        <v>1</v>
      </c>
      <c r="AM17" s="5">
        <v>1</v>
      </c>
      <c r="AN17" s="5">
        <v>0</v>
      </c>
      <c r="AO17" s="5">
        <v>1</v>
      </c>
      <c r="AP17" s="5">
        <v>0</v>
      </c>
      <c r="AQ17" s="5">
        <v>0</v>
      </c>
      <c r="AR17" s="5">
        <v>0</v>
      </c>
      <c r="AS17" s="5">
        <v>0</v>
      </c>
      <c r="AT17" s="5">
        <v>1</v>
      </c>
      <c r="AU17" s="5">
        <v>0</v>
      </c>
      <c r="AV17" s="5">
        <v>0</v>
      </c>
      <c r="AW17" s="5">
        <v>0</v>
      </c>
      <c r="AX17" s="5">
        <v>0</v>
      </c>
      <c r="AY17" s="5">
        <v>0</v>
      </c>
      <c r="AZ17" s="5">
        <v>0</v>
      </c>
      <c r="BA17" s="5">
        <v>0</v>
      </c>
      <c r="BB17" s="5">
        <v>0</v>
      </c>
      <c r="BC17" s="5">
        <v>0</v>
      </c>
      <c r="BD17" s="5">
        <v>0</v>
      </c>
      <c r="BE17">
        <f t="shared" si="0"/>
        <v>12</v>
      </c>
    </row>
    <row r="18" spans="1:57" ht="15.75" thickBot="1">
      <c r="A18" s="15" t="s">
        <v>68</v>
      </c>
      <c r="B18" s="14" t="s">
        <v>76</v>
      </c>
      <c r="C18" s="5">
        <v>1</v>
      </c>
      <c r="D18" s="5">
        <v>0</v>
      </c>
      <c r="E18" s="5">
        <v>0</v>
      </c>
      <c r="F18" s="5">
        <v>0</v>
      </c>
      <c r="G18" s="5">
        <v>0</v>
      </c>
      <c r="H18" s="5">
        <v>0</v>
      </c>
      <c r="I18" s="5">
        <v>0</v>
      </c>
      <c r="J18" s="5">
        <v>0</v>
      </c>
      <c r="K18" s="5">
        <v>0</v>
      </c>
      <c r="L18" s="5">
        <v>1</v>
      </c>
      <c r="M18" s="5">
        <v>1</v>
      </c>
      <c r="N18" s="5">
        <v>0</v>
      </c>
      <c r="O18" s="5">
        <v>0</v>
      </c>
      <c r="P18" s="5">
        <v>0</v>
      </c>
      <c r="Q18" s="5">
        <v>0</v>
      </c>
      <c r="R18" s="5">
        <v>0</v>
      </c>
      <c r="S18" s="5">
        <v>0</v>
      </c>
      <c r="T18" s="5">
        <v>1</v>
      </c>
      <c r="U18" s="5">
        <v>0</v>
      </c>
      <c r="V18" s="5">
        <v>0</v>
      </c>
      <c r="W18" s="5">
        <v>0</v>
      </c>
      <c r="X18" s="5">
        <v>0</v>
      </c>
      <c r="Y18" s="5">
        <v>0</v>
      </c>
      <c r="Z18" s="5">
        <v>0</v>
      </c>
      <c r="AA18" s="5">
        <v>0</v>
      </c>
      <c r="AB18" s="5">
        <v>0</v>
      </c>
      <c r="AC18" s="5">
        <v>0</v>
      </c>
      <c r="AD18" s="5">
        <v>0</v>
      </c>
      <c r="AE18" s="5">
        <v>0</v>
      </c>
      <c r="AF18" s="5">
        <v>0</v>
      </c>
      <c r="AG18" s="5">
        <v>0</v>
      </c>
      <c r="AH18" s="5">
        <v>0</v>
      </c>
      <c r="AI18" s="5">
        <v>0</v>
      </c>
      <c r="AJ18" s="5">
        <v>1</v>
      </c>
      <c r="AK18" s="5">
        <v>0</v>
      </c>
      <c r="AL18" s="5">
        <v>0</v>
      </c>
      <c r="AM18" s="5">
        <v>1</v>
      </c>
      <c r="AN18" s="5">
        <v>0</v>
      </c>
      <c r="AO18" s="5">
        <v>0</v>
      </c>
      <c r="AP18" s="5">
        <v>0</v>
      </c>
      <c r="AQ18" s="5">
        <v>0</v>
      </c>
      <c r="AR18" s="5">
        <v>1</v>
      </c>
      <c r="AS18" s="5">
        <v>0</v>
      </c>
      <c r="AT18" s="5">
        <v>0</v>
      </c>
      <c r="AU18" s="5">
        <v>0</v>
      </c>
      <c r="AV18" s="5">
        <v>0</v>
      </c>
      <c r="AW18" s="5">
        <v>0</v>
      </c>
      <c r="AX18" s="5">
        <v>0</v>
      </c>
      <c r="AY18" s="5">
        <v>0</v>
      </c>
      <c r="AZ18" s="5">
        <v>0</v>
      </c>
      <c r="BA18" s="5">
        <v>0</v>
      </c>
      <c r="BB18" s="5">
        <v>0</v>
      </c>
      <c r="BC18" s="5">
        <v>0</v>
      </c>
      <c r="BD18" s="5">
        <v>0</v>
      </c>
      <c r="BE18">
        <f t="shared" si="0"/>
        <v>7</v>
      </c>
    </row>
    <row r="19" spans="1:57" ht="15.75" thickBot="1">
      <c r="A19" s="15" t="s">
        <v>69</v>
      </c>
      <c r="B19" s="14" t="s">
        <v>76</v>
      </c>
      <c r="C19" s="5">
        <v>1</v>
      </c>
      <c r="D19" s="5">
        <v>0</v>
      </c>
      <c r="E19" s="5">
        <v>0</v>
      </c>
      <c r="F19" s="5">
        <v>1</v>
      </c>
      <c r="G19" s="5">
        <v>0</v>
      </c>
      <c r="H19" s="5">
        <v>1</v>
      </c>
      <c r="I19" s="5">
        <v>0</v>
      </c>
      <c r="J19" s="5">
        <v>0</v>
      </c>
      <c r="K19" s="5">
        <v>0</v>
      </c>
      <c r="L19" s="5">
        <v>0</v>
      </c>
      <c r="M19" s="5">
        <v>0</v>
      </c>
      <c r="N19" s="5">
        <v>0</v>
      </c>
      <c r="O19" s="5">
        <v>0</v>
      </c>
      <c r="P19" s="5">
        <v>1</v>
      </c>
      <c r="Q19" s="5">
        <v>0</v>
      </c>
      <c r="R19" s="5">
        <v>0</v>
      </c>
      <c r="S19" s="5">
        <v>1</v>
      </c>
      <c r="T19" s="5">
        <v>1</v>
      </c>
      <c r="U19" s="5">
        <v>0</v>
      </c>
      <c r="V19" s="5">
        <v>0</v>
      </c>
      <c r="W19" s="5">
        <v>0</v>
      </c>
      <c r="X19" s="5">
        <v>0</v>
      </c>
      <c r="Y19" s="5">
        <v>0</v>
      </c>
      <c r="Z19" s="5">
        <v>0</v>
      </c>
      <c r="AA19" s="5">
        <v>0</v>
      </c>
      <c r="AB19" s="5">
        <v>1</v>
      </c>
      <c r="AC19" s="5">
        <v>0</v>
      </c>
      <c r="AD19" s="5">
        <v>0</v>
      </c>
      <c r="AE19" s="5">
        <v>0</v>
      </c>
      <c r="AF19" s="5">
        <v>0</v>
      </c>
      <c r="AG19" s="5">
        <v>0</v>
      </c>
      <c r="AH19" s="5">
        <v>0</v>
      </c>
      <c r="AI19" s="5">
        <v>0</v>
      </c>
      <c r="AJ19" s="5">
        <v>0</v>
      </c>
      <c r="AK19" s="5">
        <v>0</v>
      </c>
      <c r="AL19" s="5">
        <v>0</v>
      </c>
      <c r="AM19" s="5">
        <v>0</v>
      </c>
      <c r="AN19" s="5">
        <v>0</v>
      </c>
      <c r="AO19" s="5">
        <v>0</v>
      </c>
      <c r="AP19" s="5">
        <v>0</v>
      </c>
      <c r="AQ19" s="5">
        <v>1</v>
      </c>
      <c r="AR19" s="5">
        <v>0</v>
      </c>
      <c r="AS19" s="5">
        <v>0</v>
      </c>
      <c r="AT19" s="5">
        <v>0</v>
      </c>
      <c r="AU19" s="5">
        <v>0</v>
      </c>
      <c r="AV19" s="5">
        <v>1</v>
      </c>
      <c r="AW19" s="5">
        <v>1</v>
      </c>
      <c r="AX19" s="5">
        <v>0</v>
      </c>
      <c r="AY19" s="5">
        <v>1</v>
      </c>
      <c r="AZ19" s="5">
        <v>0</v>
      </c>
      <c r="BA19" s="5">
        <v>1</v>
      </c>
      <c r="BB19" s="5">
        <v>0</v>
      </c>
      <c r="BC19" s="5">
        <v>0</v>
      </c>
      <c r="BD19" s="5">
        <v>1</v>
      </c>
      <c r="BE19">
        <f t="shared" si="0"/>
        <v>13</v>
      </c>
    </row>
    <row r="20" spans="1:57" ht="15.75" thickBot="1">
      <c r="A20" s="15" t="s">
        <v>70</v>
      </c>
      <c r="B20" s="14" t="s">
        <v>76</v>
      </c>
      <c r="C20" s="5">
        <v>0</v>
      </c>
      <c r="D20" s="5">
        <v>0</v>
      </c>
      <c r="E20" s="5">
        <v>1</v>
      </c>
      <c r="F20" s="5">
        <v>0</v>
      </c>
      <c r="G20" s="5">
        <v>0</v>
      </c>
      <c r="H20" s="5">
        <v>0</v>
      </c>
      <c r="I20" s="5">
        <v>1</v>
      </c>
      <c r="J20" s="5">
        <v>0</v>
      </c>
      <c r="K20" s="5">
        <v>0</v>
      </c>
      <c r="L20" s="5">
        <v>0</v>
      </c>
      <c r="M20" s="5">
        <v>0</v>
      </c>
      <c r="N20" s="5">
        <v>0</v>
      </c>
      <c r="O20" s="5">
        <v>0</v>
      </c>
      <c r="P20" s="5">
        <v>0</v>
      </c>
      <c r="Q20" s="5">
        <v>0</v>
      </c>
      <c r="R20" s="5">
        <v>0</v>
      </c>
      <c r="S20" s="5">
        <v>1</v>
      </c>
      <c r="T20" s="5">
        <v>0</v>
      </c>
      <c r="U20" s="5">
        <v>1</v>
      </c>
      <c r="V20" s="5">
        <v>0</v>
      </c>
      <c r="W20" s="5">
        <v>0</v>
      </c>
      <c r="X20" s="5">
        <v>0</v>
      </c>
      <c r="Y20" s="5">
        <v>0</v>
      </c>
      <c r="Z20" s="5">
        <v>0</v>
      </c>
      <c r="AA20" s="5">
        <v>0</v>
      </c>
      <c r="AB20" s="5">
        <v>0</v>
      </c>
      <c r="AC20" s="5">
        <v>0</v>
      </c>
      <c r="AD20" s="5">
        <v>0</v>
      </c>
      <c r="AE20" s="5">
        <v>0</v>
      </c>
      <c r="AF20" s="5">
        <v>1</v>
      </c>
      <c r="AG20" s="5">
        <v>0</v>
      </c>
      <c r="AH20" s="5">
        <v>0</v>
      </c>
      <c r="AI20" s="5">
        <v>0</v>
      </c>
      <c r="AJ20" s="5">
        <v>0</v>
      </c>
      <c r="AK20" s="5">
        <v>1</v>
      </c>
      <c r="AL20" s="5">
        <v>0</v>
      </c>
      <c r="AM20" s="5">
        <v>0</v>
      </c>
      <c r="AN20" s="5">
        <v>1</v>
      </c>
      <c r="AO20" s="5">
        <v>0</v>
      </c>
      <c r="AP20" s="5">
        <v>0</v>
      </c>
      <c r="AQ20" s="5">
        <v>0</v>
      </c>
      <c r="AR20" s="5">
        <v>0</v>
      </c>
      <c r="AS20" s="5">
        <v>0</v>
      </c>
      <c r="AT20" s="5">
        <v>0</v>
      </c>
      <c r="AU20" s="5">
        <v>0</v>
      </c>
      <c r="AV20" s="5">
        <v>0</v>
      </c>
      <c r="AW20" s="5">
        <v>1</v>
      </c>
      <c r="AX20" s="5">
        <v>0</v>
      </c>
      <c r="AY20" s="5">
        <v>0</v>
      </c>
      <c r="AZ20" s="5">
        <v>0</v>
      </c>
      <c r="BA20" s="5">
        <v>0</v>
      </c>
      <c r="BB20" s="5">
        <v>0</v>
      </c>
      <c r="BC20" s="5">
        <v>1</v>
      </c>
      <c r="BD20" s="5">
        <v>1</v>
      </c>
      <c r="BE20">
        <f t="shared" si="0"/>
        <v>10</v>
      </c>
    </row>
    <row r="21" spans="1:57" ht="15.75" thickBot="1">
      <c r="A21" s="15" t="s">
        <v>71</v>
      </c>
      <c r="B21" s="14" t="s">
        <v>76</v>
      </c>
      <c r="C21" s="5">
        <v>1</v>
      </c>
      <c r="D21" s="5">
        <v>0</v>
      </c>
      <c r="E21" s="5">
        <v>1</v>
      </c>
      <c r="F21" s="5">
        <v>0</v>
      </c>
      <c r="G21" s="5">
        <v>0</v>
      </c>
      <c r="H21" s="5">
        <v>1</v>
      </c>
      <c r="I21" s="5">
        <v>0</v>
      </c>
      <c r="J21" s="5">
        <v>1</v>
      </c>
      <c r="K21" s="5">
        <v>0</v>
      </c>
      <c r="L21" s="5">
        <v>0</v>
      </c>
      <c r="M21" s="5">
        <v>0</v>
      </c>
      <c r="N21" s="5">
        <v>0</v>
      </c>
      <c r="O21" s="5">
        <v>1</v>
      </c>
      <c r="P21" s="5">
        <v>0</v>
      </c>
      <c r="Q21" s="5">
        <v>1</v>
      </c>
      <c r="R21" s="5">
        <v>0</v>
      </c>
      <c r="S21" s="5">
        <v>0</v>
      </c>
      <c r="T21" s="5">
        <v>0</v>
      </c>
      <c r="U21" s="5">
        <v>0</v>
      </c>
      <c r="V21" s="5">
        <v>0</v>
      </c>
      <c r="W21" s="5">
        <v>0</v>
      </c>
      <c r="X21" s="5">
        <v>0</v>
      </c>
      <c r="Y21" s="5">
        <v>0</v>
      </c>
      <c r="Z21" s="5">
        <v>1</v>
      </c>
      <c r="AA21" s="5">
        <v>0</v>
      </c>
      <c r="AB21" s="5">
        <v>1</v>
      </c>
      <c r="AC21" s="5">
        <v>0</v>
      </c>
      <c r="AD21" s="5">
        <v>0</v>
      </c>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1</v>
      </c>
      <c r="AW21" s="5">
        <v>1</v>
      </c>
      <c r="AX21" s="5">
        <v>0</v>
      </c>
      <c r="AY21" s="5">
        <v>0</v>
      </c>
      <c r="AZ21" s="5">
        <v>0</v>
      </c>
      <c r="BA21" s="5">
        <v>0</v>
      </c>
      <c r="BB21" s="5">
        <v>0</v>
      </c>
      <c r="BC21" s="5">
        <v>0</v>
      </c>
      <c r="BD21" s="5">
        <v>0</v>
      </c>
      <c r="BE21">
        <f t="shared" si="0"/>
        <v>10</v>
      </c>
    </row>
    <row r="22" spans="1:57" ht="15.75" thickBot="1">
      <c r="A22" s="15" t="s">
        <v>62</v>
      </c>
      <c r="B22" s="21" t="s">
        <v>77</v>
      </c>
      <c r="C22" s="17">
        <v>1</v>
      </c>
      <c r="D22" s="19">
        <v>0</v>
      </c>
      <c r="E22" s="19">
        <v>0</v>
      </c>
      <c r="F22" s="19">
        <v>0</v>
      </c>
      <c r="G22" s="18">
        <v>0</v>
      </c>
      <c r="H22" s="18">
        <v>0</v>
      </c>
      <c r="I22" s="18">
        <v>0</v>
      </c>
      <c r="J22" s="18">
        <v>0</v>
      </c>
      <c r="K22" s="18">
        <v>0</v>
      </c>
      <c r="L22" s="18">
        <v>0</v>
      </c>
      <c r="M22" s="18">
        <v>0</v>
      </c>
      <c r="N22" s="18">
        <v>0</v>
      </c>
      <c r="O22" s="18">
        <v>0</v>
      </c>
      <c r="P22" s="18">
        <v>0</v>
      </c>
      <c r="Q22" s="18">
        <v>0</v>
      </c>
      <c r="R22" s="18">
        <v>0</v>
      </c>
      <c r="S22" s="18">
        <v>0</v>
      </c>
      <c r="T22" s="17">
        <v>1</v>
      </c>
      <c r="U22" s="18">
        <v>0</v>
      </c>
      <c r="V22" s="17">
        <v>1</v>
      </c>
      <c r="W22" s="18">
        <v>0</v>
      </c>
      <c r="X22" s="19">
        <v>0</v>
      </c>
      <c r="Y22" s="18">
        <v>0</v>
      </c>
      <c r="Z22" s="18">
        <v>0</v>
      </c>
      <c r="AA22" s="18">
        <v>0</v>
      </c>
      <c r="AB22" s="18">
        <v>0</v>
      </c>
      <c r="AC22" s="18">
        <v>0</v>
      </c>
      <c r="AD22" s="18">
        <v>0</v>
      </c>
      <c r="AE22" s="18">
        <v>0</v>
      </c>
      <c r="AF22" s="18">
        <v>0</v>
      </c>
      <c r="AG22" s="18">
        <v>0</v>
      </c>
      <c r="AH22" s="18">
        <v>0</v>
      </c>
      <c r="AI22" s="18">
        <v>0</v>
      </c>
      <c r="AJ22" s="18">
        <v>0</v>
      </c>
      <c r="AK22" s="17">
        <v>1</v>
      </c>
      <c r="AL22" s="18">
        <v>0</v>
      </c>
      <c r="AM22" s="17">
        <v>1</v>
      </c>
      <c r="AN22" s="18">
        <v>0</v>
      </c>
      <c r="AO22" s="17">
        <v>1</v>
      </c>
      <c r="AP22" s="18">
        <v>0</v>
      </c>
      <c r="AQ22" s="19">
        <v>0</v>
      </c>
      <c r="AR22" s="18">
        <v>0</v>
      </c>
      <c r="AS22" s="18">
        <v>0</v>
      </c>
      <c r="AT22" s="17">
        <v>1</v>
      </c>
      <c r="AU22" s="18">
        <v>0</v>
      </c>
      <c r="AV22" s="17">
        <v>1</v>
      </c>
      <c r="AW22" s="18">
        <v>0</v>
      </c>
      <c r="AX22" s="19">
        <v>0</v>
      </c>
      <c r="AY22" s="18">
        <v>0</v>
      </c>
      <c r="AZ22" s="18">
        <v>0</v>
      </c>
      <c r="BA22" s="18">
        <v>0</v>
      </c>
      <c r="BB22" s="18">
        <v>0</v>
      </c>
      <c r="BC22" s="18">
        <v>0</v>
      </c>
      <c r="BD22" s="18">
        <v>0</v>
      </c>
      <c r="BE22">
        <f t="shared" si="0"/>
        <v>8</v>
      </c>
    </row>
    <row r="23" spans="1:57" ht="15.75" thickBot="1">
      <c r="A23" s="15" t="s">
        <v>63</v>
      </c>
      <c r="B23" s="21" t="s">
        <v>77</v>
      </c>
      <c r="C23" s="17">
        <v>1</v>
      </c>
      <c r="D23" s="19">
        <v>0</v>
      </c>
      <c r="E23" s="19">
        <v>0</v>
      </c>
      <c r="F23" s="19">
        <v>0</v>
      </c>
      <c r="G23" s="18">
        <v>0</v>
      </c>
      <c r="H23" s="18">
        <v>0</v>
      </c>
      <c r="I23" s="17">
        <v>1</v>
      </c>
      <c r="J23" s="18">
        <v>0</v>
      </c>
      <c r="K23" s="18">
        <v>0</v>
      </c>
      <c r="L23" s="17">
        <v>1</v>
      </c>
      <c r="M23" s="18">
        <v>0</v>
      </c>
      <c r="N23" s="17">
        <v>1</v>
      </c>
      <c r="O23" s="18">
        <v>0</v>
      </c>
      <c r="P23" s="17">
        <v>1</v>
      </c>
      <c r="Q23" s="17">
        <v>1</v>
      </c>
      <c r="R23" s="18">
        <v>0</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7">
        <v>1</v>
      </c>
      <c r="AK23" s="17">
        <v>1</v>
      </c>
      <c r="AL23" s="17">
        <v>1</v>
      </c>
      <c r="AM23" s="17">
        <v>1</v>
      </c>
      <c r="AN23" s="18">
        <v>0</v>
      </c>
      <c r="AO23" s="18">
        <v>0</v>
      </c>
      <c r="AP23" s="17">
        <v>1</v>
      </c>
      <c r="AQ23" s="19">
        <v>0</v>
      </c>
      <c r="AR23" s="18">
        <v>0</v>
      </c>
      <c r="AS23" s="17">
        <v>1</v>
      </c>
      <c r="AT23" s="17">
        <v>1</v>
      </c>
      <c r="AU23" s="17">
        <v>1</v>
      </c>
      <c r="AV23" s="18">
        <v>0</v>
      </c>
      <c r="AW23" s="18">
        <v>0</v>
      </c>
      <c r="AX23" s="19">
        <v>0</v>
      </c>
      <c r="AY23" s="18">
        <v>0</v>
      </c>
      <c r="AZ23" s="18">
        <v>0</v>
      </c>
      <c r="BA23" s="17">
        <v>1</v>
      </c>
      <c r="BB23" s="18">
        <v>0</v>
      </c>
      <c r="BC23" s="18">
        <v>0</v>
      </c>
      <c r="BD23" s="18">
        <v>0</v>
      </c>
      <c r="BE23">
        <f t="shared" si="0"/>
        <v>15</v>
      </c>
    </row>
    <row r="24" spans="1:57" ht="15.75" thickBot="1">
      <c r="A24" s="15" t="s">
        <v>64</v>
      </c>
      <c r="B24" s="21" t="s">
        <v>77</v>
      </c>
      <c r="C24" s="18">
        <v>0</v>
      </c>
      <c r="D24" s="19">
        <v>0</v>
      </c>
      <c r="E24" s="19">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7">
        <v>1</v>
      </c>
      <c r="W24" s="18">
        <v>0</v>
      </c>
      <c r="X24" s="18">
        <v>0</v>
      </c>
      <c r="Y24" s="18">
        <v>0</v>
      </c>
      <c r="Z24" s="18">
        <v>0</v>
      </c>
      <c r="AA24" s="18">
        <v>0</v>
      </c>
      <c r="AB24" s="18">
        <v>0</v>
      </c>
      <c r="AC24" s="18">
        <v>0</v>
      </c>
      <c r="AD24" s="18">
        <v>0</v>
      </c>
      <c r="AE24" s="17">
        <v>1</v>
      </c>
      <c r="AF24" s="18">
        <v>0</v>
      </c>
      <c r="AG24" s="18">
        <v>0</v>
      </c>
      <c r="AH24" s="18">
        <v>0</v>
      </c>
      <c r="AI24" s="17">
        <v>1</v>
      </c>
      <c r="AJ24" s="18">
        <v>0</v>
      </c>
      <c r="AK24" s="18">
        <v>0</v>
      </c>
      <c r="AL24" s="18">
        <v>0</v>
      </c>
      <c r="AM24" s="18">
        <v>0</v>
      </c>
      <c r="AN24" s="17">
        <v>1</v>
      </c>
      <c r="AO24" s="18">
        <v>0</v>
      </c>
      <c r="AP24" s="17">
        <v>1</v>
      </c>
      <c r="AQ24" s="18">
        <v>0</v>
      </c>
      <c r="AR24" s="18">
        <v>0</v>
      </c>
      <c r="AS24" s="18">
        <v>0</v>
      </c>
      <c r="AT24" s="18">
        <v>0</v>
      </c>
      <c r="AU24" s="18">
        <v>0</v>
      </c>
      <c r="AV24" s="17">
        <v>1</v>
      </c>
      <c r="AW24" s="18">
        <v>0</v>
      </c>
      <c r="AX24" s="18">
        <v>0</v>
      </c>
      <c r="AY24" s="18">
        <v>0</v>
      </c>
      <c r="AZ24" s="18">
        <v>0</v>
      </c>
      <c r="BA24" s="18">
        <v>0</v>
      </c>
      <c r="BB24" s="17">
        <v>1</v>
      </c>
      <c r="BC24" s="18">
        <v>0</v>
      </c>
      <c r="BD24" s="18">
        <v>0</v>
      </c>
      <c r="BE24">
        <f t="shared" si="0"/>
        <v>7</v>
      </c>
    </row>
    <row r="25" spans="1:57" ht="15.75" thickBot="1">
      <c r="A25" s="15" t="s">
        <v>65</v>
      </c>
      <c r="B25" s="21" t="s">
        <v>77</v>
      </c>
      <c r="C25" s="18">
        <v>0</v>
      </c>
      <c r="D25" s="19">
        <v>0</v>
      </c>
      <c r="E25" s="17">
        <v>1</v>
      </c>
      <c r="F25" s="18">
        <v>0</v>
      </c>
      <c r="G25" s="18">
        <v>0</v>
      </c>
      <c r="H25" s="17">
        <v>1</v>
      </c>
      <c r="I25" s="17">
        <v>1</v>
      </c>
      <c r="J25" s="18">
        <v>0</v>
      </c>
      <c r="K25" s="18">
        <v>0</v>
      </c>
      <c r="L25" s="18">
        <v>0</v>
      </c>
      <c r="M25" s="18">
        <v>0</v>
      </c>
      <c r="N25" s="18">
        <v>0</v>
      </c>
      <c r="O25" s="18">
        <v>0</v>
      </c>
      <c r="P25" s="18">
        <v>0</v>
      </c>
      <c r="Q25" s="18">
        <v>0</v>
      </c>
      <c r="R25" s="17">
        <v>1</v>
      </c>
      <c r="S25" s="18">
        <v>0</v>
      </c>
      <c r="T25" s="18">
        <v>0</v>
      </c>
      <c r="U25" s="18">
        <v>0</v>
      </c>
      <c r="V25" s="18">
        <v>0</v>
      </c>
      <c r="W25" s="18">
        <v>0</v>
      </c>
      <c r="X25" s="18">
        <v>0</v>
      </c>
      <c r="Y25" s="18">
        <v>0</v>
      </c>
      <c r="Z25" s="17">
        <v>1</v>
      </c>
      <c r="AA25" s="17">
        <v>1</v>
      </c>
      <c r="AB25" s="18">
        <v>0</v>
      </c>
      <c r="AC25" s="17">
        <v>1</v>
      </c>
      <c r="AD25" s="18">
        <v>0</v>
      </c>
      <c r="AE25" s="17">
        <v>1</v>
      </c>
      <c r="AF25" s="18">
        <v>0</v>
      </c>
      <c r="AG25" s="18">
        <v>0</v>
      </c>
      <c r="AH25" s="18">
        <v>0</v>
      </c>
      <c r="AI25" s="18">
        <v>0</v>
      </c>
      <c r="AJ25" s="18">
        <v>0</v>
      </c>
      <c r="AK25" s="18">
        <v>0</v>
      </c>
      <c r="AL25" s="18">
        <v>0</v>
      </c>
      <c r="AM25" s="17">
        <v>1</v>
      </c>
      <c r="AN25" s="18">
        <v>0</v>
      </c>
      <c r="AO25" s="18">
        <v>0</v>
      </c>
      <c r="AP25" s="17">
        <v>1</v>
      </c>
      <c r="AQ25" s="17">
        <v>1</v>
      </c>
      <c r="AR25" s="18">
        <v>0</v>
      </c>
      <c r="AS25" s="18">
        <v>0</v>
      </c>
      <c r="AT25" s="18">
        <v>0</v>
      </c>
      <c r="AU25" s="18">
        <v>0</v>
      </c>
      <c r="AV25" s="18">
        <v>0</v>
      </c>
      <c r="AW25" s="17">
        <v>1</v>
      </c>
      <c r="AX25" s="18">
        <v>0</v>
      </c>
      <c r="AY25" s="18">
        <v>0</v>
      </c>
      <c r="AZ25" s="18">
        <v>0</v>
      </c>
      <c r="BA25" s="17">
        <v>1</v>
      </c>
      <c r="BB25" s="18">
        <v>0</v>
      </c>
      <c r="BC25" s="18">
        <v>0</v>
      </c>
      <c r="BD25" s="18">
        <v>0</v>
      </c>
      <c r="BE25">
        <f t="shared" si="0"/>
        <v>13</v>
      </c>
    </row>
    <row r="26" spans="1:57" ht="15.75" thickBot="1">
      <c r="A26" s="15" t="s">
        <v>66</v>
      </c>
      <c r="B26" s="21" t="s">
        <v>77</v>
      </c>
      <c r="C26" s="17">
        <v>1</v>
      </c>
      <c r="D26" s="17">
        <v>1</v>
      </c>
      <c r="E26" s="18">
        <v>0</v>
      </c>
      <c r="F26" s="18">
        <v>0</v>
      </c>
      <c r="G26" s="17">
        <v>1</v>
      </c>
      <c r="H26" s="18">
        <v>0</v>
      </c>
      <c r="I26" s="18">
        <v>0</v>
      </c>
      <c r="J26" s="18">
        <v>0</v>
      </c>
      <c r="K26" s="18">
        <v>0</v>
      </c>
      <c r="L26" s="18">
        <v>0</v>
      </c>
      <c r="M26" s="18">
        <v>0</v>
      </c>
      <c r="N26" s="18">
        <v>0</v>
      </c>
      <c r="O26" s="18">
        <v>0</v>
      </c>
      <c r="P26" s="18">
        <v>0</v>
      </c>
      <c r="Q26" s="18">
        <v>0</v>
      </c>
      <c r="R26" s="17">
        <v>1</v>
      </c>
      <c r="S26" s="17">
        <v>1</v>
      </c>
      <c r="T26" s="18">
        <v>0</v>
      </c>
      <c r="U26" s="18">
        <v>0</v>
      </c>
      <c r="V26" s="18">
        <v>0</v>
      </c>
      <c r="W26" s="18">
        <v>0</v>
      </c>
      <c r="X26" s="18">
        <v>0</v>
      </c>
      <c r="Y26" s="18">
        <v>0</v>
      </c>
      <c r="Z26" s="17">
        <v>1</v>
      </c>
      <c r="AA26" s="18">
        <v>0</v>
      </c>
      <c r="AB26" s="18">
        <v>0</v>
      </c>
      <c r="AC26" s="18">
        <v>0</v>
      </c>
      <c r="AD26" s="18">
        <v>0</v>
      </c>
      <c r="AE26" s="18">
        <v>0</v>
      </c>
      <c r="AF26" s="18">
        <v>0</v>
      </c>
      <c r="AG26" s="18">
        <v>0</v>
      </c>
      <c r="AH26" s="18">
        <v>0</v>
      </c>
      <c r="AI26" s="17">
        <v>1</v>
      </c>
      <c r="AJ26" s="18">
        <v>0</v>
      </c>
      <c r="AK26" s="18">
        <v>0</v>
      </c>
      <c r="AL26" s="18">
        <v>0</v>
      </c>
      <c r="AM26" s="18">
        <v>0</v>
      </c>
      <c r="AN26" s="17">
        <v>1</v>
      </c>
      <c r="AO26" s="18">
        <v>0</v>
      </c>
      <c r="AP26" s="18">
        <v>0</v>
      </c>
      <c r="AQ26" s="18">
        <v>0</v>
      </c>
      <c r="AR26" s="17">
        <v>1</v>
      </c>
      <c r="AS26" s="18">
        <v>0</v>
      </c>
      <c r="AT26" s="17">
        <v>1</v>
      </c>
      <c r="AU26" s="18">
        <v>0</v>
      </c>
      <c r="AV26" s="20">
        <v>0</v>
      </c>
      <c r="AW26" s="18">
        <v>0</v>
      </c>
      <c r="AX26" s="18">
        <v>0</v>
      </c>
      <c r="AY26" s="18">
        <v>0</v>
      </c>
      <c r="AZ26" s="18">
        <v>0</v>
      </c>
      <c r="BA26" s="18">
        <v>0</v>
      </c>
      <c r="BB26" s="18">
        <v>0</v>
      </c>
      <c r="BC26" s="18">
        <v>0</v>
      </c>
      <c r="BD26" s="18">
        <v>0</v>
      </c>
      <c r="BE26">
        <f t="shared" si="0"/>
        <v>10</v>
      </c>
    </row>
    <row r="27" spans="1:57" ht="15.75" thickBot="1">
      <c r="A27" s="15" t="s">
        <v>67</v>
      </c>
      <c r="B27" s="21" t="s">
        <v>77</v>
      </c>
      <c r="C27" s="17">
        <v>1</v>
      </c>
      <c r="D27" s="18">
        <v>0</v>
      </c>
      <c r="E27" s="18">
        <v>0</v>
      </c>
      <c r="F27" s="18">
        <v>0</v>
      </c>
      <c r="G27" s="18">
        <v>0</v>
      </c>
      <c r="H27" s="17">
        <v>1</v>
      </c>
      <c r="I27" s="18">
        <v>0</v>
      </c>
      <c r="J27" s="18">
        <v>0</v>
      </c>
      <c r="K27" s="18">
        <v>0</v>
      </c>
      <c r="L27" s="18">
        <v>0</v>
      </c>
      <c r="M27" s="18">
        <v>0</v>
      </c>
      <c r="N27" s="18">
        <v>0</v>
      </c>
      <c r="O27" s="18">
        <v>0</v>
      </c>
      <c r="P27" s="18">
        <v>0</v>
      </c>
      <c r="Q27" s="18">
        <v>0</v>
      </c>
      <c r="R27" s="18">
        <v>0</v>
      </c>
      <c r="S27" s="17">
        <v>1</v>
      </c>
      <c r="T27" s="18">
        <v>0</v>
      </c>
      <c r="U27" s="18">
        <v>0</v>
      </c>
      <c r="V27" s="17">
        <v>1</v>
      </c>
      <c r="W27" s="18">
        <v>0</v>
      </c>
      <c r="X27" s="18">
        <v>0</v>
      </c>
      <c r="Y27" s="18">
        <v>0</v>
      </c>
      <c r="Z27" s="18">
        <v>0</v>
      </c>
      <c r="AA27" s="17">
        <v>1</v>
      </c>
      <c r="AB27" s="18">
        <v>0</v>
      </c>
      <c r="AC27" s="18">
        <v>0</v>
      </c>
      <c r="AD27" s="17">
        <v>1</v>
      </c>
      <c r="AE27" s="18">
        <v>0</v>
      </c>
      <c r="AF27" s="17">
        <v>1</v>
      </c>
      <c r="AG27" s="18">
        <v>0</v>
      </c>
      <c r="AH27" s="18">
        <v>0</v>
      </c>
      <c r="AI27" s="18">
        <v>0</v>
      </c>
      <c r="AJ27" s="18">
        <v>0</v>
      </c>
      <c r="AK27" s="18">
        <v>0</v>
      </c>
      <c r="AL27" s="18">
        <v>0</v>
      </c>
      <c r="AM27" s="18">
        <v>0</v>
      </c>
      <c r="AN27" s="18">
        <v>0</v>
      </c>
      <c r="AO27" s="17">
        <v>1</v>
      </c>
      <c r="AP27" s="18">
        <v>0</v>
      </c>
      <c r="AQ27" s="18">
        <v>0</v>
      </c>
      <c r="AR27" s="18">
        <v>0</v>
      </c>
      <c r="AS27" s="18">
        <v>0</v>
      </c>
      <c r="AT27" s="18">
        <v>0</v>
      </c>
      <c r="AU27" s="18">
        <v>0</v>
      </c>
      <c r="AV27" s="18">
        <v>0</v>
      </c>
      <c r="AW27" s="17">
        <v>1</v>
      </c>
      <c r="AX27" s="17">
        <v>1</v>
      </c>
      <c r="AY27" s="18">
        <v>0</v>
      </c>
      <c r="AZ27" s="18">
        <v>0</v>
      </c>
      <c r="BA27" s="18">
        <v>0</v>
      </c>
      <c r="BB27" s="18">
        <v>0</v>
      </c>
      <c r="BC27" s="18">
        <v>0</v>
      </c>
      <c r="BD27" s="17">
        <v>1</v>
      </c>
      <c r="BE27">
        <f t="shared" si="0"/>
        <v>11</v>
      </c>
    </row>
    <row r="28" spans="1:57" ht="15.75" thickBot="1">
      <c r="A28" s="15" t="s">
        <v>68</v>
      </c>
      <c r="B28" s="21" t="s">
        <v>77</v>
      </c>
      <c r="C28" s="17">
        <v>1</v>
      </c>
      <c r="D28" s="18">
        <v>0</v>
      </c>
      <c r="E28" s="18">
        <v>0</v>
      </c>
      <c r="F28" s="17">
        <v>1</v>
      </c>
      <c r="G28" s="18">
        <v>0</v>
      </c>
      <c r="H28" s="17">
        <v>1</v>
      </c>
      <c r="I28" s="17">
        <v>1</v>
      </c>
      <c r="J28" s="17">
        <v>1</v>
      </c>
      <c r="K28" s="18">
        <v>0</v>
      </c>
      <c r="L28" s="18">
        <v>0</v>
      </c>
      <c r="M28" s="18">
        <v>0</v>
      </c>
      <c r="N28" s="17">
        <v>1</v>
      </c>
      <c r="O28" s="18">
        <v>0</v>
      </c>
      <c r="P28" s="18">
        <v>0</v>
      </c>
      <c r="Q28" s="18">
        <v>0</v>
      </c>
      <c r="R28" s="18">
        <v>0</v>
      </c>
      <c r="S28" s="18">
        <v>0</v>
      </c>
      <c r="T28" s="18">
        <v>0</v>
      </c>
      <c r="U28" s="17">
        <v>1</v>
      </c>
      <c r="V28" s="17">
        <v>1</v>
      </c>
      <c r="W28" s="18">
        <v>0</v>
      </c>
      <c r="X28" s="18">
        <v>0</v>
      </c>
      <c r="Y28" s="18">
        <v>0</v>
      </c>
      <c r="Z28" s="17">
        <v>1</v>
      </c>
      <c r="AA28" s="18">
        <v>0</v>
      </c>
      <c r="AB28" s="18">
        <v>0</v>
      </c>
      <c r="AC28" s="18">
        <v>0</v>
      </c>
      <c r="AD28" s="17">
        <v>1</v>
      </c>
      <c r="AE28" s="18">
        <v>0</v>
      </c>
      <c r="AF28" s="17">
        <v>1</v>
      </c>
      <c r="AG28" s="18">
        <v>0</v>
      </c>
      <c r="AH28" s="17">
        <v>1</v>
      </c>
      <c r="AI28" s="18">
        <v>0</v>
      </c>
      <c r="AJ28" s="18">
        <v>0</v>
      </c>
      <c r="AK28" s="17">
        <v>1</v>
      </c>
      <c r="AL28" s="17">
        <v>1</v>
      </c>
      <c r="AM28" s="18">
        <v>0</v>
      </c>
      <c r="AN28" s="17">
        <v>1</v>
      </c>
      <c r="AO28" s="18">
        <v>0</v>
      </c>
      <c r="AP28" s="17">
        <v>0</v>
      </c>
      <c r="AQ28" s="18">
        <v>0</v>
      </c>
      <c r="AR28" s="18">
        <v>0</v>
      </c>
      <c r="AS28" s="17">
        <v>1</v>
      </c>
      <c r="AT28" s="18">
        <v>0</v>
      </c>
      <c r="AU28" s="18">
        <v>0</v>
      </c>
      <c r="AV28" s="18">
        <v>0</v>
      </c>
      <c r="AW28" s="18">
        <v>0</v>
      </c>
      <c r="AX28" s="18">
        <v>0</v>
      </c>
      <c r="AY28" s="18">
        <v>0</v>
      </c>
      <c r="AZ28" s="18">
        <v>0</v>
      </c>
      <c r="BA28" s="18">
        <v>0</v>
      </c>
      <c r="BB28" s="18">
        <v>0</v>
      </c>
      <c r="BC28" s="17">
        <v>1</v>
      </c>
      <c r="BD28" s="17">
        <v>1</v>
      </c>
      <c r="BE28">
        <f t="shared" si="0"/>
        <v>18</v>
      </c>
    </row>
    <row r="29" spans="1:57" ht="15.75" thickBot="1">
      <c r="A29" s="15" t="s">
        <v>69</v>
      </c>
      <c r="B29" s="21" t="s">
        <v>77</v>
      </c>
      <c r="C29" s="17">
        <v>1</v>
      </c>
      <c r="D29" s="18">
        <v>0</v>
      </c>
      <c r="E29" s="18">
        <v>0</v>
      </c>
      <c r="F29" s="18">
        <v>0</v>
      </c>
      <c r="G29" s="18">
        <v>0</v>
      </c>
      <c r="H29" s="18">
        <v>0</v>
      </c>
      <c r="I29" s="18">
        <v>0</v>
      </c>
      <c r="J29" s="17">
        <v>1</v>
      </c>
      <c r="K29" s="17">
        <v>1</v>
      </c>
      <c r="L29" s="18">
        <v>0</v>
      </c>
      <c r="M29" s="17">
        <v>1</v>
      </c>
      <c r="N29" s="18">
        <v>0</v>
      </c>
      <c r="O29" s="17">
        <v>1</v>
      </c>
      <c r="P29" s="18">
        <v>0</v>
      </c>
      <c r="Q29" s="18">
        <v>0</v>
      </c>
      <c r="R29" s="18">
        <v>0</v>
      </c>
      <c r="S29" s="18">
        <v>0</v>
      </c>
      <c r="T29" s="18">
        <v>0</v>
      </c>
      <c r="U29" s="18">
        <v>0</v>
      </c>
      <c r="V29" s="18">
        <v>0</v>
      </c>
      <c r="W29" s="18">
        <v>0</v>
      </c>
      <c r="X29" s="18">
        <v>0</v>
      </c>
      <c r="Y29" s="18">
        <v>0</v>
      </c>
      <c r="Z29" s="18">
        <v>0</v>
      </c>
      <c r="AA29" s="18">
        <v>0</v>
      </c>
      <c r="AB29" s="18">
        <v>0</v>
      </c>
      <c r="AC29" s="18">
        <v>0</v>
      </c>
      <c r="AD29" s="18">
        <v>0</v>
      </c>
      <c r="AE29" s="17">
        <v>1</v>
      </c>
      <c r="AF29" s="18">
        <v>0</v>
      </c>
      <c r="AG29" s="18">
        <v>0</v>
      </c>
      <c r="AH29" s="18">
        <v>0</v>
      </c>
      <c r="AI29" s="18">
        <v>0</v>
      </c>
      <c r="AJ29" s="18">
        <v>0</v>
      </c>
      <c r="AK29" s="18">
        <v>0</v>
      </c>
      <c r="AL29" s="18">
        <v>0</v>
      </c>
      <c r="AM29" s="17">
        <v>1</v>
      </c>
      <c r="AN29" s="18">
        <v>0</v>
      </c>
      <c r="AO29" s="18">
        <v>0</v>
      </c>
      <c r="AP29" s="18">
        <v>0</v>
      </c>
      <c r="AQ29" s="18">
        <v>0</v>
      </c>
      <c r="AR29" s="18">
        <v>0</v>
      </c>
      <c r="AS29" s="17">
        <v>1</v>
      </c>
      <c r="AT29" s="18">
        <v>0</v>
      </c>
      <c r="AU29" s="17">
        <v>1</v>
      </c>
      <c r="AV29" s="18">
        <v>0</v>
      </c>
      <c r="AW29" s="17">
        <v>0</v>
      </c>
      <c r="AX29" s="18">
        <v>0</v>
      </c>
      <c r="AY29" s="18">
        <v>0</v>
      </c>
      <c r="AZ29" s="18">
        <v>0</v>
      </c>
      <c r="BA29" s="18">
        <v>0</v>
      </c>
      <c r="BB29" s="17">
        <v>1</v>
      </c>
      <c r="BC29" s="18">
        <v>0</v>
      </c>
      <c r="BD29" s="18">
        <v>0</v>
      </c>
      <c r="BE29">
        <f t="shared" si="0"/>
        <v>10</v>
      </c>
    </row>
    <row r="30" spans="1:57" ht="15.75" thickBot="1">
      <c r="A30" s="15" t="s">
        <v>70</v>
      </c>
      <c r="B30" s="21" t="s">
        <v>77</v>
      </c>
      <c r="C30" s="17">
        <v>0</v>
      </c>
      <c r="D30" s="18">
        <v>0</v>
      </c>
      <c r="E30" s="18">
        <v>0</v>
      </c>
      <c r="F30" s="18">
        <v>0</v>
      </c>
      <c r="G30" s="18">
        <v>0</v>
      </c>
      <c r="H30" s="18">
        <v>0</v>
      </c>
      <c r="I30" s="17">
        <v>1</v>
      </c>
      <c r="J30" s="18">
        <v>0</v>
      </c>
      <c r="K30" s="18">
        <v>0</v>
      </c>
      <c r="L30" s="17">
        <v>1</v>
      </c>
      <c r="M30" s="18">
        <v>0</v>
      </c>
      <c r="N30" s="18">
        <v>0</v>
      </c>
      <c r="O30" s="18">
        <v>0</v>
      </c>
      <c r="P30" s="18">
        <v>0</v>
      </c>
      <c r="Q30" s="18">
        <v>0</v>
      </c>
      <c r="R30" s="18">
        <v>0</v>
      </c>
      <c r="S30" s="18">
        <v>0</v>
      </c>
      <c r="T30" s="17">
        <v>1</v>
      </c>
      <c r="U30" s="18">
        <v>0</v>
      </c>
      <c r="V30" s="18">
        <v>0</v>
      </c>
      <c r="W30" s="18">
        <v>0</v>
      </c>
      <c r="X30" s="18">
        <v>0</v>
      </c>
      <c r="Y30" s="17">
        <v>1</v>
      </c>
      <c r="Z30" s="18">
        <v>0</v>
      </c>
      <c r="AA30" s="18">
        <v>0</v>
      </c>
      <c r="AB30" s="18">
        <v>0</v>
      </c>
      <c r="AC30" s="17">
        <v>1</v>
      </c>
      <c r="AD30" s="18">
        <v>0</v>
      </c>
      <c r="AE30" s="17">
        <v>1</v>
      </c>
      <c r="AF30" s="18">
        <v>0</v>
      </c>
      <c r="AG30" s="18">
        <v>0</v>
      </c>
      <c r="AH30" s="18">
        <v>0</v>
      </c>
      <c r="AI30" s="18">
        <v>0</v>
      </c>
      <c r="AJ30" s="17">
        <v>1</v>
      </c>
      <c r="AK30" s="17">
        <v>1</v>
      </c>
      <c r="AL30" s="18">
        <v>0</v>
      </c>
      <c r="AM30" s="18">
        <v>0</v>
      </c>
      <c r="AN30" s="18">
        <v>0</v>
      </c>
      <c r="AO30" s="18">
        <v>0</v>
      </c>
      <c r="AP30" s="18">
        <v>0</v>
      </c>
      <c r="AQ30" s="18">
        <v>0</v>
      </c>
      <c r="AR30" s="18">
        <v>0</v>
      </c>
      <c r="AS30" s="17">
        <v>1</v>
      </c>
      <c r="AT30" s="18">
        <v>0</v>
      </c>
      <c r="AU30" s="18">
        <v>0</v>
      </c>
      <c r="AV30" s="18">
        <v>0</v>
      </c>
      <c r="AW30" s="17">
        <v>1</v>
      </c>
      <c r="AX30" s="17">
        <v>1</v>
      </c>
      <c r="AY30" s="17">
        <v>1</v>
      </c>
      <c r="AZ30" s="18">
        <v>0</v>
      </c>
      <c r="BA30" s="17">
        <v>1</v>
      </c>
      <c r="BB30" s="18">
        <v>0</v>
      </c>
      <c r="BC30" s="18">
        <v>0</v>
      </c>
      <c r="BD30" s="17">
        <v>1</v>
      </c>
      <c r="BE30">
        <f t="shared" si="0"/>
        <v>14</v>
      </c>
    </row>
    <row r="31" spans="1:57" ht="15.75" thickBot="1">
      <c r="A31" s="15" t="s">
        <v>71</v>
      </c>
      <c r="B31" s="21" t="s">
        <v>77</v>
      </c>
      <c r="C31" s="17">
        <v>1</v>
      </c>
      <c r="D31" s="18">
        <v>0</v>
      </c>
      <c r="E31" s="17">
        <v>1</v>
      </c>
      <c r="F31" s="18">
        <v>0</v>
      </c>
      <c r="G31" s="18">
        <v>0</v>
      </c>
      <c r="H31" s="17">
        <v>1</v>
      </c>
      <c r="I31" s="18">
        <v>0</v>
      </c>
      <c r="J31" s="18">
        <v>0</v>
      </c>
      <c r="K31" s="18">
        <v>0</v>
      </c>
      <c r="L31" s="18">
        <v>0</v>
      </c>
      <c r="M31" s="18">
        <v>0</v>
      </c>
      <c r="N31" s="18">
        <v>0</v>
      </c>
      <c r="O31" s="18">
        <v>0</v>
      </c>
      <c r="P31" s="18">
        <v>0</v>
      </c>
      <c r="Q31" s="18">
        <v>0</v>
      </c>
      <c r="R31" s="17">
        <v>1</v>
      </c>
      <c r="S31" s="17">
        <v>1</v>
      </c>
      <c r="T31" s="18">
        <v>0</v>
      </c>
      <c r="U31" s="18">
        <v>0</v>
      </c>
      <c r="V31" s="17">
        <v>1</v>
      </c>
      <c r="W31" s="17">
        <v>1</v>
      </c>
      <c r="X31" s="18">
        <v>0</v>
      </c>
      <c r="Y31" s="18">
        <v>0</v>
      </c>
      <c r="Z31" s="18">
        <v>0</v>
      </c>
      <c r="AA31" s="18">
        <v>0</v>
      </c>
      <c r="AB31" s="17">
        <v>1</v>
      </c>
      <c r="AC31" s="18">
        <v>0</v>
      </c>
      <c r="AD31" s="18">
        <v>0</v>
      </c>
      <c r="AE31" s="17">
        <v>1</v>
      </c>
      <c r="AF31" s="18">
        <v>0</v>
      </c>
      <c r="AG31" s="18">
        <v>0</v>
      </c>
      <c r="AH31" s="18">
        <v>0</v>
      </c>
      <c r="AI31" s="17">
        <v>1</v>
      </c>
      <c r="AJ31" s="18">
        <v>0</v>
      </c>
      <c r="AK31" s="18">
        <v>0</v>
      </c>
      <c r="AL31" s="18">
        <v>0</v>
      </c>
      <c r="AM31" s="17">
        <v>1</v>
      </c>
      <c r="AN31" s="18">
        <v>0</v>
      </c>
      <c r="AO31" s="18">
        <v>0</v>
      </c>
      <c r="AP31" s="18">
        <v>0</v>
      </c>
      <c r="AQ31" s="18">
        <v>0</v>
      </c>
      <c r="AR31" s="18">
        <v>0</v>
      </c>
      <c r="AS31" s="18">
        <v>0</v>
      </c>
      <c r="AT31" s="18">
        <v>0</v>
      </c>
      <c r="AU31" s="18">
        <v>0</v>
      </c>
      <c r="AV31" s="18">
        <v>0</v>
      </c>
      <c r="AW31" s="18">
        <v>0</v>
      </c>
      <c r="AX31" s="18">
        <v>0</v>
      </c>
      <c r="AY31" s="18">
        <v>0</v>
      </c>
      <c r="AZ31" s="18">
        <v>0</v>
      </c>
      <c r="BA31" s="18">
        <v>0</v>
      </c>
      <c r="BB31" s="18">
        <v>0</v>
      </c>
      <c r="BC31" s="18">
        <v>0</v>
      </c>
      <c r="BD31" s="18">
        <v>0</v>
      </c>
      <c r="BE31">
        <f t="shared" si="0"/>
        <v>11</v>
      </c>
    </row>
    <row r="36" spans="3:5">
      <c r="C36" s="23"/>
      <c r="D36" s="24"/>
      <c r="E36" s="25"/>
    </row>
    <row r="37" spans="3:5">
      <c r="C37" s="26"/>
      <c r="D37" s="27"/>
      <c r="E37" s="28"/>
    </row>
    <row r="38" spans="3:5">
      <c r="C38" s="26"/>
      <c r="D38" s="27"/>
      <c r="E38" s="28"/>
    </row>
    <row r="39" spans="3:5">
      <c r="C39" s="26"/>
      <c r="D39" s="27"/>
      <c r="E39" s="28"/>
    </row>
    <row r="40" spans="3:5">
      <c r="C40" s="26"/>
      <c r="D40" s="27"/>
      <c r="E40" s="28"/>
    </row>
    <row r="41" spans="3:5">
      <c r="C41" s="26"/>
      <c r="D41" s="27"/>
      <c r="E41" s="28"/>
    </row>
    <row r="42" spans="3:5">
      <c r="C42" s="26"/>
      <c r="D42" s="27"/>
      <c r="E42" s="28"/>
    </row>
    <row r="43" spans="3:5">
      <c r="C43" s="26"/>
      <c r="D43" s="27"/>
      <c r="E43" s="28"/>
    </row>
    <row r="44" spans="3:5">
      <c r="C44" s="26"/>
      <c r="D44" s="27"/>
      <c r="E44" s="28"/>
    </row>
    <row r="45" spans="3:5">
      <c r="C45" s="26"/>
      <c r="D45" s="27"/>
      <c r="E45" s="28"/>
    </row>
    <row r="46" spans="3:5">
      <c r="C46" s="26"/>
      <c r="D46" s="27"/>
      <c r="E46" s="28"/>
    </row>
    <row r="47" spans="3:5">
      <c r="C47" s="26"/>
      <c r="D47" s="27"/>
      <c r="E47" s="28"/>
    </row>
    <row r="48" spans="3:5">
      <c r="C48" s="26"/>
      <c r="D48" s="27"/>
      <c r="E48" s="28"/>
    </row>
    <row r="49" spans="3:5">
      <c r="C49" s="26"/>
      <c r="D49" s="27"/>
      <c r="E49" s="28"/>
    </row>
    <row r="50" spans="3:5">
      <c r="C50" s="26"/>
      <c r="D50" s="27"/>
      <c r="E50" s="28"/>
    </row>
    <row r="51" spans="3:5">
      <c r="C51" s="26"/>
      <c r="D51" s="27"/>
      <c r="E51" s="28"/>
    </row>
    <row r="52" spans="3:5">
      <c r="C52" s="26"/>
      <c r="D52" s="27"/>
      <c r="E52" s="28"/>
    </row>
    <row r="53" spans="3:5">
      <c r="C53" s="29"/>
      <c r="D53" s="30"/>
      <c r="E53" s="3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9"/>
  <sheetViews>
    <sheetView topLeftCell="B1" workbookViewId="0">
      <selection activeCell="M3" sqref="M3"/>
    </sheetView>
  </sheetViews>
  <sheetFormatPr defaultRowHeight="15"/>
  <cols>
    <col min="1" max="1" width="5.140625" customWidth="1"/>
    <col min="2" max="2" width="24.85546875" customWidth="1"/>
    <col min="3" max="13" width="2.85546875" customWidth="1"/>
  </cols>
  <sheetData>
    <row r="1" spans="2:13" ht="35.25" thickBot="1">
      <c r="B1" s="1" t="s">
        <v>0</v>
      </c>
      <c r="C1" s="2" t="s">
        <v>1</v>
      </c>
      <c r="D1" s="2" t="s">
        <v>1</v>
      </c>
      <c r="E1" s="2" t="s">
        <v>1</v>
      </c>
      <c r="F1" s="2" t="s">
        <v>1</v>
      </c>
      <c r="G1" s="2" t="s">
        <v>1</v>
      </c>
      <c r="H1" s="2" t="s">
        <v>1</v>
      </c>
      <c r="I1" s="2" t="s">
        <v>1</v>
      </c>
      <c r="J1" s="2" t="s">
        <v>1</v>
      </c>
      <c r="K1" s="2" t="s">
        <v>1</v>
      </c>
      <c r="L1" s="2" t="s">
        <v>1</v>
      </c>
      <c r="M1" s="2" t="s">
        <v>2</v>
      </c>
    </row>
    <row r="2" spans="2:13" ht="15.75" thickBot="1">
      <c r="B2" s="1" t="s">
        <v>3</v>
      </c>
      <c r="C2" s="3"/>
      <c r="D2" s="48"/>
      <c r="E2" s="48"/>
      <c r="F2" s="48"/>
      <c r="G2" s="48"/>
      <c r="H2" s="48"/>
      <c r="I2" s="48"/>
      <c r="J2" s="48"/>
      <c r="K2" s="48"/>
      <c r="L2" s="48"/>
      <c r="M2" s="49"/>
    </row>
    <row r="3" spans="2:13" ht="15.75" thickBot="1">
      <c r="B3" s="4" t="s">
        <v>4</v>
      </c>
      <c r="C3" s="5" t="s">
        <v>5</v>
      </c>
      <c r="D3" s="5" t="s">
        <v>5</v>
      </c>
      <c r="E3" s="5"/>
      <c r="F3" s="5"/>
      <c r="G3" s="5" t="s">
        <v>5</v>
      </c>
      <c r="H3" s="5"/>
      <c r="I3" s="5" t="s">
        <v>5</v>
      </c>
      <c r="J3" s="5" t="s">
        <v>5</v>
      </c>
      <c r="K3" s="5" t="s">
        <v>5</v>
      </c>
      <c r="L3" s="5"/>
      <c r="M3" s="5"/>
    </row>
    <row r="4" spans="2:13" ht="15.75" thickBot="1">
      <c r="B4" s="4" t="s">
        <v>6</v>
      </c>
      <c r="C4" s="5"/>
      <c r="D4" s="5"/>
      <c r="E4" s="5"/>
      <c r="F4" s="5"/>
      <c r="G4" s="5"/>
      <c r="H4" s="5"/>
      <c r="I4" s="5"/>
      <c r="J4" s="5"/>
      <c r="K4" s="5"/>
      <c r="L4" s="5" t="s">
        <v>5</v>
      </c>
      <c r="M4" s="5"/>
    </row>
    <row r="5" spans="2:13" ht="15.75" thickBot="1">
      <c r="B5" s="4" t="s">
        <v>7</v>
      </c>
      <c r="C5" s="5"/>
      <c r="D5" s="5"/>
      <c r="E5" s="5"/>
      <c r="F5" s="5"/>
      <c r="G5" s="5"/>
      <c r="H5" s="5" t="s">
        <v>5</v>
      </c>
      <c r="I5" s="5"/>
      <c r="J5" s="5"/>
      <c r="K5" s="5"/>
      <c r="L5" s="5"/>
      <c r="M5" s="5"/>
    </row>
    <row r="6" spans="2:13" ht="15.75" thickBot="1">
      <c r="B6" s="4" t="s">
        <v>8</v>
      </c>
      <c r="C6" s="5"/>
      <c r="D6" s="5"/>
      <c r="E6" s="5"/>
      <c r="F6" s="5"/>
      <c r="G6" s="5"/>
      <c r="H6" s="5"/>
      <c r="I6" s="5"/>
      <c r="J6" s="5"/>
      <c r="K6" s="5" t="s">
        <v>5</v>
      </c>
      <c r="L6" s="5"/>
      <c r="M6" s="5"/>
    </row>
    <row r="7" spans="2:13" ht="15.75" thickBot="1">
      <c r="B7" s="4" t="s">
        <v>9</v>
      </c>
      <c r="C7" s="5"/>
      <c r="D7" s="5"/>
      <c r="E7" s="5"/>
      <c r="F7" s="5" t="s">
        <v>5</v>
      </c>
      <c r="G7" s="5"/>
      <c r="H7" s="5"/>
      <c r="I7" s="5"/>
      <c r="J7" s="5"/>
      <c r="K7" s="5"/>
      <c r="L7" s="5"/>
      <c r="M7" s="5"/>
    </row>
    <row r="8" spans="2:13" ht="15.75" thickBot="1">
      <c r="B8" s="4" t="s">
        <v>10</v>
      </c>
      <c r="C8" s="5"/>
      <c r="D8" s="5"/>
      <c r="E8" s="5"/>
      <c r="F8" s="5"/>
      <c r="G8" s="5"/>
      <c r="H8" s="5"/>
      <c r="I8" s="5"/>
      <c r="J8" s="5"/>
      <c r="K8" s="5"/>
      <c r="L8" s="5"/>
      <c r="M8" s="5"/>
    </row>
    <row r="9" spans="2:13" ht="15.75" thickBot="1">
      <c r="B9" s="4" t="s">
        <v>11</v>
      </c>
      <c r="C9" s="5"/>
      <c r="D9" s="5"/>
      <c r="E9" s="5"/>
      <c r="F9" s="5"/>
      <c r="G9" s="5"/>
      <c r="H9" s="5"/>
      <c r="I9" s="5"/>
      <c r="J9" s="5"/>
      <c r="K9" s="5"/>
      <c r="L9" s="5" t="s">
        <v>5</v>
      </c>
      <c r="M9" s="5"/>
    </row>
    <row r="10" spans="2:13" ht="15.75" thickBot="1">
      <c r="B10" s="4" t="s">
        <v>12</v>
      </c>
      <c r="C10" s="5"/>
      <c r="D10" s="5"/>
      <c r="E10" s="5"/>
      <c r="F10" s="5"/>
      <c r="G10" s="5" t="s">
        <v>5</v>
      </c>
      <c r="H10" s="5"/>
      <c r="I10" s="5"/>
      <c r="J10" s="5"/>
      <c r="K10" s="5"/>
      <c r="L10" s="5" t="s">
        <v>5</v>
      </c>
      <c r="M10" s="5"/>
    </row>
    <row r="11" spans="2:13" ht="15.75" thickBot="1">
      <c r="B11" s="4" t="s">
        <v>13</v>
      </c>
      <c r="C11" s="5"/>
      <c r="D11" s="5"/>
      <c r="E11" s="5"/>
      <c r="F11" s="5"/>
      <c r="G11" s="5"/>
      <c r="H11" s="5"/>
      <c r="I11" s="5"/>
      <c r="J11" s="5"/>
      <c r="K11" s="5"/>
      <c r="L11" s="5"/>
      <c r="M11" s="5"/>
    </row>
    <row r="12" spans="2:13" ht="15.75" thickBot="1">
      <c r="B12" s="4" t="s">
        <v>14</v>
      </c>
      <c r="C12" s="5"/>
      <c r="D12" s="5"/>
      <c r="E12" s="5"/>
      <c r="F12" s="5"/>
      <c r="G12" s="5"/>
      <c r="H12" s="5"/>
      <c r="I12" s="5"/>
      <c r="J12" s="5"/>
      <c r="K12" s="5" t="s">
        <v>5</v>
      </c>
      <c r="L12" s="5" t="s">
        <v>5</v>
      </c>
      <c r="M12" s="5"/>
    </row>
    <row r="13" spans="2:13" ht="15.75" thickBot="1">
      <c r="B13" s="4" t="s">
        <v>15</v>
      </c>
      <c r="C13" s="5"/>
      <c r="D13" s="5"/>
      <c r="E13" s="5"/>
      <c r="F13" s="5"/>
      <c r="G13" s="5"/>
      <c r="H13" s="5" t="s">
        <v>5</v>
      </c>
      <c r="I13" s="5"/>
      <c r="J13" s="5"/>
      <c r="K13" s="5"/>
      <c r="L13" s="5" t="s">
        <v>5</v>
      </c>
      <c r="M13" s="5"/>
    </row>
    <row r="14" spans="2:13" ht="15.75" thickBot="1">
      <c r="B14" s="4" t="s">
        <v>16</v>
      </c>
      <c r="C14" s="5" t="s">
        <v>5</v>
      </c>
      <c r="D14" s="5"/>
      <c r="E14" s="5"/>
      <c r="F14" s="5"/>
      <c r="G14" s="5"/>
      <c r="H14" s="5"/>
      <c r="I14" s="5"/>
      <c r="J14" s="5"/>
      <c r="K14" s="5" t="s">
        <v>5</v>
      </c>
      <c r="L14" s="5"/>
      <c r="M14" s="5"/>
    </row>
    <row r="15" spans="2:13" ht="15.75" thickBot="1">
      <c r="B15" s="4" t="s">
        <v>17</v>
      </c>
      <c r="C15" s="5"/>
      <c r="D15" s="5"/>
      <c r="E15" s="5"/>
      <c r="F15" s="5"/>
      <c r="G15" s="5"/>
      <c r="H15" s="5"/>
      <c r="I15" s="5"/>
      <c r="J15" s="5"/>
      <c r="K15" s="5"/>
      <c r="L15" s="5" t="s">
        <v>5</v>
      </c>
      <c r="M15" s="5"/>
    </row>
    <row r="16" spans="2:13" ht="15.75" thickBot="1">
      <c r="B16" s="4" t="s">
        <v>18</v>
      </c>
      <c r="C16" s="5"/>
      <c r="D16" s="5"/>
      <c r="E16" s="5"/>
      <c r="F16" s="5"/>
      <c r="G16" s="5"/>
      <c r="H16" s="5"/>
      <c r="I16" s="5"/>
      <c r="J16" s="5"/>
      <c r="K16" s="5"/>
      <c r="L16" s="5"/>
      <c r="M16" s="5"/>
    </row>
    <row r="17" spans="2:13" ht="15.75" thickBot="1">
      <c r="B17" s="4" t="s">
        <v>19</v>
      </c>
      <c r="C17" s="5"/>
      <c r="D17" s="5" t="s">
        <v>5</v>
      </c>
      <c r="E17" s="5"/>
      <c r="F17" s="5"/>
      <c r="G17" s="5"/>
      <c r="H17" s="5"/>
      <c r="I17" s="5"/>
      <c r="J17" s="5"/>
      <c r="K17" s="5"/>
      <c r="L17" s="5"/>
      <c r="M17" s="5"/>
    </row>
    <row r="18" spans="2:13" ht="15.75" thickBot="1">
      <c r="B18" s="4" t="s">
        <v>20</v>
      </c>
      <c r="C18" s="5"/>
      <c r="D18" s="5"/>
      <c r="E18" s="5"/>
      <c r="F18" s="5"/>
      <c r="G18" s="5" t="s">
        <v>5</v>
      </c>
      <c r="H18" s="5"/>
      <c r="I18" s="5"/>
      <c r="J18" s="5"/>
      <c r="K18" s="5"/>
      <c r="L18" s="5"/>
      <c r="M18" s="5"/>
    </row>
    <row r="19" spans="2:13" ht="15.75" thickBot="1">
      <c r="B19" s="1" t="s">
        <v>21</v>
      </c>
      <c r="C19" s="5"/>
      <c r="D19" s="5"/>
      <c r="E19" s="5"/>
      <c r="F19" s="5"/>
      <c r="G19" s="5"/>
      <c r="H19" s="5"/>
      <c r="I19" s="5"/>
      <c r="J19" s="5"/>
      <c r="K19" s="5"/>
      <c r="L19" s="5"/>
      <c r="M19" s="5"/>
    </row>
    <row r="20" spans="2:13" ht="15.75" thickBot="1">
      <c r="B20" s="4" t="s">
        <v>22</v>
      </c>
      <c r="C20" s="5"/>
      <c r="D20" s="5" t="s">
        <v>5</v>
      </c>
      <c r="E20" s="5"/>
      <c r="F20" s="5"/>
      <c r="G20" s="5"/>
      <c r="H20" s="5"/>
      <c r="I20" s="5"/>
      <c r="J20" s="5"/>
      <c r="K20" s="5"/>
      <c r="L20" s="5"/>
      <c r="M20" s="5"/>
    </row>
    <row r="21" spans="2:13" ht="15.75" thickBot="1">
      <c r="B21" s="4" t="s">
        <v>23</v>
      </c>
      <c r="C21" s="5"/>
      <c r="D21" s="5"/>
      <c r="E21" s="5"/>
      <c r="F21" s="5"/>
      <c r="G21" s="5"/>
      <c r="H21" s="5"/>
      <c r="I21" s="5"/>
      <c r="J21" s="5"/>
      <c r="K21" s="5"/>
      <c r="L21" s="5"/>
      <c r="M21" s="5"/>
    </row>
    <row r="22" spans="2:13" ht="15.75" thickBot="1">
      <c r="B22" s="4" t="s">
        <v>24</v>
      </c>
      <c r="C22" s="5"/>
      <c r="D22" s="5"/>
      <c r="E22" s="5"/>
      <c r="F22" s="5" t="s">
        <v>5</v>
      </c>
      <c r="G22" s="5"/>
      <c r="H22" s="5"/>
      <c r="I22" s="5"/>
      <c r="J22" s="5"/>
      <c r="K22" s="5"/>
      <c r="L22" s="5"/>
      <c r="M22" s="5"/>
    </row>
    <row r="23" spans="2:13" ht="15.75" thickBot="1">
      <c r="B23" s="4" t="s">
        <v>25</v>
      </c>
      <c r="C23" s="5"/>
      <c r="D23" s="5"/>
      <c r="E23" s="5"/>
      <c r="F23" s="5"/>
      <c r="G23" s="5" t="s">
        <v>5</v>
      </c>
      <c r="H23" s="5"/>
      <c r="I23" s="5"/>
      <c r="J23" s="5"/>
      <c r="K23" s="5"/>
      <c r="L23" s="5"/>
      <c r="M23" s="5"/>
    </row>
    <row r="24" spans="2:13" ht="15.75" thickBot="1">
      <c r="B24" s="4" t="s">
        <v>26</v>
      </c>
      <c r="C24" s="5"/>
      <c r="D24" s="5"/>
      <c r="E24" s="5"/>
      <c r="F24" s="5"/>
      <c r="G24" s="5"/>
      <c r="H24" s="5"/>
      <c r="I24" s="5"/>
      <c r="J24" s="5"/>
      <c r="K24" s="5"/>
      <c r="L24" s="5"/>
      <c r="M24" s="5"/>
    </row>
    <row r="25" spans="2:13" ht="15.75" thickBot="1">
      <c r="B25" s="4" t="s">
        <v>27</v>
      </c>
      <c r="C25" s="5"/>
      <c r="D25" s="5"/>
      <c r="E25" s="5"/>
      <c r="F25" s="5" t="s">
        <v>5</v>
      </c>
      <c r="G25" s="5"/>
      <c r="H25" s="5"/>
      <c r="I25" s="5"/>
      <c r="J25" s="5"/>
      <c r="K25" s="5"/>
      <c r="L25" s="5"/>
      <c r="M25" s="5"/>
    </row>
    <row r="26" spans="2:13" ht="15.75" thickBot="1">
      <c r="B26" s="4" t="s">
        <v>28</v>
      </c>
      <c r="C26" s="5"/>
      <c r="D26" s="5"/>
      <c r="E26" s="5"/>
      <c r="F26" s="5"/>
      <c r="G26" s="5"/>
      <c r="H26" s="5"/>
      <c r="I26" s="5"/>
      <c r="J26" s="5"/>
      <c r="K26" s="5"/>
      <c r="L26" s="5"/>
      <c r="M26" s="5"/>
    </row>
    <row r="27" spans="2:13" ht="15.75" thickBot="1">
      <c r="B27" s="4" t="s">
        <v>29</v>
      </c>
      <c r="C27" s="5"/>
      <c r="D27" s="5"/>
      <c r="E27" s="5"/>
      <c r="F27" s="5"/>
      <c r="G27" s="5" t="s">
        <v>5</v>
      </c>
      <c r="H27" s="5"/>
      <c r="I27" s="5"/>
      <c r="J27" s="5"/>
      <c r="K27" s="5"/>
      <c r="L27" s="5"/>
      <c r="M27" s="5"/>
    </row>
    <row r="28" spans="2:13" ht="15.75" thickBot="1">
      <c r="B28" s="4" t="s">
        <v>30</v>
      </c>
      <c r="C28" s="5"/>
      <c r="D28" s="5"/>
      <c r="E28" s="5" t="s">
        <v>5</v>
      </c>
      <c r="F28" s="5"/>
      <c r="G28" s="5"/>
      <c r="H28" s="5"/>
      <c r="I28" s="5"/>
      <c r="J28" s="5"/>
      <c r="K28" s="5"/>
      <c r="L28" s="5"/>
      <c r="M28" s="5"/>
    </row>
    <row r="29" spans="2:13" ht="15.75" thickBot="1">
      <c r="B29" s="4" t="s">
        <v>31</v>
      </c>
      <c r="C29" s="5"/>
      <c r="D29" s="5"/>
      <c r="E29" s="5"/>
      <c r="F29" s="5"/>
      <c r="G29" s="5"/>
      <c r="H29" s="5"/>
      <c r="I29" s="5"/>
      <c r="J29" s="5"/>
      <c r="K29" s="5"/>
      <c r="L29" s="5"/>
      <c r="M29" s="5"/>
    </row>
    <row r="30" spans="2:13" ht="15.75" thickBot="1">
      <c r="B30" s="4" t="s">
        <v>32</v>
      </c>
      <c r="C30" s="5"/>
      <c r="D30" s="5"/>
      <c r="E30" s="5"/>
      <c r="F30" s="5" t="s">
        <v>5</v>
      </c>
      <c r="G30" s="5"/>
      <c r="H30" s="5"/>
      <c r="I30" s="5"/>
      <c r="J30" s="5"/>
      <c r="K30" s="5"/>
      <c r="L30" s="5"/>
      <c r="M30" s="5"/>
    </row>
    <row r="31" spans="2:13" ht="15.75" thickBot="1">
      <c r="B31" s="4" t="s">
        <v>33</v>
      </c>
      <c r="C31" s="5"/>
      <c r="D31" s="5"/>
      <c r="E31" s="5"/>
      <c r="F31" s="5"/>
      <c r="G31" s="5"/>
      <c r="H31" s="5"/>
      <c r="I31" s="5"/>
      <c r="J31" s="5"/>
      <c r="K31" s="5"/>
      <c r="L31" s="5" t="s">
        <v>5</v>
      </c>
      <c r="M31" s="5"/>
    </row>
    <row r="32" spans="2:13" ht="15.75" thickBot="1">
      <c r="B32" s="4" t="s">
        <v>34</v>
      </c>
      <c r="C32" s="5"/>
      <c r="D32" s="5"/>
      <c r="E32" s="5"/>
      <c r="F32" s="5"/>
      <c r="G32" s="5" t="s">
        <v>5</v>
      </c>
      <c r="H32" s="5"/>
      <c r="I32" s="5"/>
      <c r="J32" s="5"/>
      <c r="K32" s="5"/>
      <c r="L32" s="5"/>
      <c r="M32" s="5"/>
    </row>
    <row r="33" spans="2:13" ht="15.75" thickBot="1">
      <c r="B33" s="4" t="s">
        <v>35</v>
      </c>
      <c r="C33" s="5"/>
      <c r="D33" s="5"/>
      <c r="E33" s="5"/>
      <c r="F33" s="5"/>
      <c r="G33" s="5" t="s">
        <v>5</v>
      </c>
      <c r="H33" s="5"/>
      <c r="I33" s="5"/>
      <c r="J33" s="5"/>
      <c r="K33" s="5"/>
      <c r="L33" s="5"/>
      <c r="M33" s="5"/>
    </row>
    <row r="34" spans="2:13" ht="15.75" thickBot="1">
      <c r="B34" s="4" t="s">
        <v>36</v>
      </c>
      <c r="C34" s="5"/>
      <c r="D34" s="5"/>
      <c r="E34" s="5"/>
      <c r="F34" s="5"/>
      <c r="G34" s="5"/>
      <c r="H34" s="5"/>
      <c r="I34" s="5"/>
      <c r="J34" s="5"/>
      <c r="K34" s="5"/>
      <c r="L34" s="5"/>
      <c r="M34" s="5"/>
    </row>
    <row r="35" spans="2:13" ht="15.75" thickBot="1">
      <c r="B35" s="4" t="s">
        <v>37</v>
      </c>
      <c r="C35" s="5" t="s">
        <v>5</v>
      </c>
      <c r="D35" s="5"/>
      <c r="E35" s="5" t="s">
        <v>5</v>
      </c>
      <c r="F35" s="5"/>
      <c r="G35" s="5"/>
      <c r="H35" s="5"/>
      <c r="I35" s="5"/>
      <c r="J35" s="5"/>
      <c r="K35" s="5"/>
      <c r="L35" s="5"/>
      <c r="M35" s="5"/>
    </row>
    <row r="36" spans="2:13" ht="15.75" thickBot="1">
      <c r="B36" s="1" t="s">
        <v>38</v>
      </c>
      <c r="C36" s="3"/>
      <c r="D36" s="3"/>
      <c r="E36" s="3"/>
      <c r="F36" s="3"/>
      <c r="G36" s="3"/>
      <c r="H36" s="3"/>
      <c r="I36" s="3"/>
      <c r="J36" s="3"/>
      <c r="K36" s="3"/>
      <c r="L36" s="3"/>
      <c r="M36" s="6"/>
    </row>
    <row r="37" spans="2:13" ht="15.75" thickBot="1">
      <c r="B37" s="4" t="s">
        <v>39</v>
      </c>
      <c r="C37" s="5"/>
      <c r="D37" s="5"/>
      <c r="E37" s="5"/>
      <c r="F37" s="5" t="s">
        <v>5</v>
      </c>
      <c r="G37" s="5"/>
      <c r="H37" s="5"/>
      <c r="I37" s="5"/>
      <c r="J37" s="5"/>
      <c r="K37" s="5"/>
      <c r="L37" s="5"/>
      <c r="M37" s="5"/>
    </row>
    <row r="38" spans="2:13" ht="15.75" thickBot="1">
      <c r="B38" s="4" t="s">
        <v>40</v>
      </c>
      <c r="C38" s="5"/>
      <c r="D38" s="5"/>
      <c r="E38" s="5"/>
      <c r="F38" s="5"/>
      <c r="G38" s="5"/>
      <c r="H38" s="5"/>
      <c r="I38" s="5"/>
      <c r="J38" s="5"/>
      <c r="K38" s="5"/>
      <c r="L38" s="5"/>
      <c r="M38" s="5"/>
    </row>
    <row r="39" spans="2:13" ht="15.75" thickBot="1">
      <c r="B39" s="4" t="s">
        <v>41</v>
      </c>
      <c r="C39" s="5"/>
      <c r="D39" s="5"/>
      <c r="E39" s="5"/>
      <c r="F39" s="5"/>
      <c r="G39" s="5"/>
      <c r="H39" s="5"/>
      <c r="I39" s="5"/>
      <c r="J39" s="5"/>
      <c r="K39" s="5"/>
      <c r="L39" s="5"/>
      <c r="M39" s="5"/>
    </row>
    <row r="40" spans="2:13" ht="15.75" thickBot="1">
      <c r="B40" s="4" t="s">
        <v>42</v>
      </c>
      <c r="C40" s="5"/>
      <c r="D40" s="5"/>
      <c r="E40" s="5"/>
      <c r="F40" s="5"/>
      <c r="G40" s="5"/>
      <c r="H40" s="5" t="s">
        <v>5</v>
      </c>
      <c r="I40" s="5"/>
      <c r="J40" s="5"/>
      <c r="K40" s="5"/>
      <c r="L40" s="5"/>
      <c r="M40" s="5"/>
    </row>
    <row r="41" spans="2:13" ht="15.75" thickBot="1">
      <c r="B41" s="4" t="s">
        <v>43</v>
      </c>
      <c r="C41" s="5" t="s">
        <v>5</v>
      </c>
      <c r="D41" s="5" t="s">
        <v>5</v>
      </c>
      <c r="E41" s="5"/>
      <c r="F41" s="5" t="s">
        <v>5</v>
      </c>
      <c r="G41" s="5" t="s">
        <v>5</v>
      </c>
      <c r="H41" s="5"/>
      <c r="I41" s="5"/>
      <c r="J41" s="5"/>
      <c r="K41" s="5"/>
      <c r="L41" s="5" t="s">
        <v>5</v>
      </c>
      <c r="M41" s="5"/>
    </row>
    <row r="42" spans="2:13" ht="15.75" thickBot="1">
      <c r="B42" s="4" t="s">
        <v>44</v>
      </c>
      <c r="C42" s="5"/>
      <c r="D42" s="5"/>
      <c r="E42" s="5"/>
      <c r="F42" s="5"/>
      <c r="G42" s="5"/>
      <c r="H42" s="5"/>
      <c r="I42" s="5"/>
      <c r="J42" s="5"/>
      <c r="K42" s="5"/>
      <c r="L42" s="5" t="s">
        <v>5</v>
      </c>
      <c r="M42" s="5"/>
    </row>
    <row r="43" spans="2:13" ht="15.75" thickBot="1">
      <c r="B43" s="4" t="s">
        <v>45</v>
      </c>
      <c r="C43" s="5" t="s">
        <v>5</v>
      </c>
      <c r="D43" s="5" t="s">
        <v>5</v>
      </c>
      <c r="E43" s="5"/>
      <c r="F43" s="5"/>
      <c r="G43" s="5" t="s">
        <v>5</v>
      </c>
      <c r="H43" s="5"/>
      <c r="I43" s="5"/>
      <c r="J43" s="5"/>
      <c r="K43" s="5" t="s">
        <v>5</v>
      </c>
      <c r="L43" s="5" t="s">
        <v>5</v>
      </c>
      <c r="M43" s="5"/>
    </row>
    <row r="44" spans="2:13" ht="15.75" thickBot="1">
      <c r="B44" s="4" t="s">
        <v>46</v>
      </c>
      <c r="C44" s="7"/>
      <c r="D44" s="5" t="s">
        <v>5</v>
      </c>
      <c r="E44" s="5"/>
      <c r="F44" s="5" t="s">
        <v>5</v>
      </c>
      <c r="G44" s="5" t="s">
        <v>5</v>
      </c>
      <c r="H44" s="5"/>
      <c r="I44" s="5"/>
      <c r="J44" s="5"/>
      <c r="K44" s="5"/>
      <c r="L44" s="5"/>
      <c r="M44" s="5"/>
    </row>
    <row r="45" spans="2:13" ht="15.75" thickBot="1">
      <c r="B45" s="4" t="s">
        <v>47</v>
      </c>
      <c r="C45" s="5" t="s">
        <v>5</v>
      </c>
      <c r="D45" s="5"/>
      <c r="E45" s="5" t="s">
        <v>5</v>
      </c>
      <c r="F45" s="5"/>
      <c r="G45" s="5"/>
      <c r="H45" s="5"/>
      <c r="I45" s="5" t="s">
        <v>5</v>
      </c>
      <c r="J45" s="5"/>
      <c r="K45" s="5"/>
      <c r="L45" s="5" t="s">
        <v>5</v>
      </c>
      <c r="M45" s="5"/>
    </row>
    <row r="46" spans="2:13" ht="15.75" thickBot="1">
      <c r="B46" s="4" t="s">
        <v>48</v>
      </c>
      <c r="C46" s="5"/>
      <c r="D46" s="5"/>
      <c r="E46" s="5"/>
      <c r="F46" s="5"/>
      <c r="G46" s="5"/>
      <c r="H46" s="5"/>
      <c r="I46" s="5"/>
      <c r="J46" s="5"/>
      <c r="K46" s="5"/>
      <c r="L46" s="5"/>
      <c r="M46" s="5"/>
    </row>
    <row r="47" spans="2:13" ht="15.75" thickBot="1">
      <c r="B47" s="4" t="s">
        <v>49</v>
      </c>
      <c r="C47" s="5"/>
      <c r="D47" s="5"/>
      <c r="E47" s="5"/>
      <c r="F47" s="5"/>
      <c r="G47" s="5" t="s">
        <v>5</v>
      </c>
      <c r="H47" s="5"/>
      <c r="I47" s="5"/>
      <c r="J47" s="5"/>
      <c r="K47" s="5"/>
      <c r="L47" s="5"/>
      <c r="M47" s="5"/>
    </row>
    <row r="48" spans="2:13" ht="15.75" thickBot="1">
      <c r="B48" s="4" t="s">
        <v>50</v>
      </c>
      <c r="C48" s="5"/>
      <c r="D48" s="5" t="s">
        <v>5</v>
      </c>
      <c r="E48" s="5"/>
      <c r="F48" s="5"/>
      <c r="G48" s="5"/>
      <c r="H48" s="5" t="s">
        <v>5</v>
      </c>
      <c r="I48" s="5"/>
      <c r="J48" s="5"/>
      <c r="K48" s="5"/>
      <c r="L48" s="5"/>
      <c r="M48" s="5"/>
    </row>
    <row r="49" spans="2:13" ht="15.75" thickBot="1">
      <c r="B49" s="1" t="s">
        <v>51</v>
      </c>
      <c r="C49" s="5"/>
      <c r="D49" s="5"/>
      <c r="E49" s="5"/>
      <c r="F49" s="5"/>
      <c r="G49" s="5"/>
      <c r="H49" s="5"/>
      <c r="I49" s="5"/>
      <c r="J49" s="5"/>
      <c r="K49" s="5"/>
      <c r="L49" s="5"/>
      <c r="M49" s="5"/>
    </row>
    <row r="50" spans="2:13" ht="15.75" thickBot="1">
      <c r="B50" s="4" t="s">
        <v>52</v>
      </c>
      <c r="C50" s="5"/>
      <c r="D50" s="5"/>
      <c r="E50" s="5"/>
      <c r="F50" s="5"/>
      <c r="G50" s="5"/>
      <c r="H50" s="5"/>
      <c r="I50" s="5"/>
      <c r="J50" s="5"/>
      <c r="K50" s="5"/>
      <c r="L50" s="5"/>
      <c r="M50" s="5"/>
    </row>
    <row r="51" spans="2:13" ht="15.75" thickBot="1">
      <c r="B51" s="4" t="s">
        <v>53</v>
      </c>
      <c r="C51" s="5"/>
      <c r="D51" s="5"/>
      <c r="E51" s="5"/>
      <c r="F51" s="5"/>
      <c r="G51" s="5"/>
      <c r="H51" s="5"/>
      <c r="I51" s="5"/>
      <c r="J51" s="5"/>
      <c r="K51" s="5"/>
      <c r="L51" s="5"/>
      <c r="M51" s="5"/>
    </row>
    <row r="52" spans="2:13" ht="15.75" thickBot="1">
      <c r="B52" s="4" t="s">
        <v>54</v>
      </c>
      <c r="C52" s="5" t="s">
        <v>5</v>
      </c>
      <c r="D52" s="5"/>
      <c r="E52" s="5"/>
      <c r="F52" s="5"/>
      <c r="G52" s="5"/>
      <c r="H52" s="5"/>
      <c r="I52" s="5"/>
      <c r="J52" s="5"/>
      <c r="K52" s="5"/>
      <c r="L52" s="5" t="s">
        <v>5</v>
      </c>
      <c r="M52" s="5"/>
    </row>
    <row r="53" spans="2:13" ht="15.75" thickBot="1">
      <c r="B53" s="4" t="s">
        <v>55</v>
      </c>
      <c r="C53" s="5"/>
      <c r="D53" s="5" t="s">
        <v>5</v>
      </c>
      <c r="E53" s="5"/>
      <c r="F53" s="5"/>
      <c r="G53" s="5"/>
      <c r="H53" s="5"/>
      <c r="I53" s="5"/>
      <c r="J53" s="5"/>
      <c r="K53" s="5"/>
      <c r="L53" s="5"/>
      <c r="M53" s="5"/>
    </row>
    <row r="54" spans="2:13" ht="15.75" thickBot="1">
      <c r="B54" s="4" t="s">
        <v>56</v>
      </c>
      <c r="C54" s="5"/>
      <c r="D54" s="5"/>
      <c r="E54" s="5"/>
      <c r="F54" s="5"/>
      <c r="G54" s="5"/>
      <c r="H54" s="5"/>
      <c r="I54" s="5"/>
      <c r="J54" s="5"/>
      <c r="K54" s="5"/>
      <c r="L54" s="5"/>
      <c r="M54" s="5"/>
    </row>
    <row r="55" spans="2:13" ht="15.75" thickBot="1">
      <c r="B55" s="4" t="s">
        <v>57</v>
      </c>
      <c r="C55" s="5"/>
      <c r="D55" s="5"/>
      <c r="E55" s="5"/>
      <c r="F55" s="5"/>
      <c r="G55" s="5"/>
      <c r="H55" s="5"/>
      <c r="I55" s="5"/>
      <c r="J55" s="5"/>
      <c r="K55" s="5" t="s">
        <v>5</v>
      </c>
      <c r="L55" s="5"/>
      <c r="M55" s="5"/>
    </row>
    <row r="56" spans="2:13" ht="15.75" thickBot="1">
      <c r="B56" s="4" t="s">
        <v>58</v>
      </c>
      <c r="C56" s="5"/>
      <c r="D56" s="5"/>
      <c r="E56" s="5"/>
      <c r="F56" s="5"/>
      <c r="G56" s="5"/>
      <c r="H56" s="5"/>
      <c r="I56" s="5"/>
      <c r="J56" s="5"/>
      <c r="K56" s="5"/>
      <c r="L56" s="5"/>
      <c r="M56" s="5"/>
    </row>
    <row r="57" spans="2:13" ht="15.75" thickBot="1">
      <c r="B57" s="4" t="s">
        <v>59</v>
      </c>
      <c r="C57" s="5"/>
      <c r="D57" s="5"/>
      <c r="E57" s="5"/>
      <c r="F57" s="5"/>
      <c r="G57" s="5"/>
      <c r="H57" s="5" t="s">
        <v>5</v>
      </c>
      <c r="I57" s="5"/>
      <c r="J57" s="5"/>
      <c r="K57" s="5"/>
      <c r="L57" s="5"/>
      <c r="M57" s="5"/>
    </row>
    <row r="58" spans="2:13" ht="15.75" thickBot="1">
      <c r="B58" s="4" t="s">
        <v>60</v>
      </c>
      <c r="C58" s="5"/>
      <c r="D58" s="5"/>
      <c r="E58" s="5"/>
      <c r="F58" s="5"/>
      <c r="G58" s="5"/>
      <c r="H58" s="5"/>
      <c r="I58" s="5"/>
      <c r="J58" s="5"/>
      <c r="K58" s="5"/>
      <c r="L58" s="5"/>
      <c r="M58" s="5"/>
    </row>
    <row r="59" spans="2:13" ht="15.75" thickBot="1">
      <c r="B59" s="4" t="s">
        <v>61</v>
      </c>
      <c r="C59" s="5"/>
      <c r="D59" s="5"/>
      <c r="E59" s="5" t="s">
        <v>5</v>
      </c>
      <c r="F59" s="5"/>
      <c r="G59" s="5"/>
      <c r="H59" s="5"/>
      <c r="I59" s="5"/>
      <c r="J59" s="5"/>
      <c r="K59" s="5" t="s">
        <v>5</v>
      </c>
      <c r="L59" s="5"/>
      <c r="M59" s="5"/>
    </row>
  </sheetData>
  <mergeCells count="1">
    <mergeCell ref="D2:M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workbookViewId="0">
      <selection activeCell="R44" sqref="R44"/>
    </sheetView>
  </sheetViews>
  <sheetFormatPr defaultRowHeight="15"/>
  <cols>
    <col min="1" max="1" width="3.85546875" customWidth="1"/>
    <col min="2" max="2" width="24.85546875" customWidth="1"/>
    <col min="3" max="3" width="10.28515625" customWidth="1"/>
  </cols>
  <sheetData>
    <row r="1" spans="1:3">
      <c r="A1" s="8"/>
      <c r="B1" s="9" t="s">
        <v>0</v>
      </c>
      <c r="C1" s="9" t="s">
        <v>2</v>
      </c>
    </row>
    <row r="2" spans="1:3">
      <c r="A2" s="8">
        <v>1</v>
      </c>
      <c r="B2" s="10" t="s">
        <v>4</v>
      </c>
      <c r="C2" s="11">
        <v>6</v>
      </c>
    </row>
    <row r="3" spans="1:3">
      <c r="A3" s="8">
        <v>2</v>
      </c>
      <c r="B3" s="10" t="s">
        <v>6</v>
      </c>
      <c r="C3" s="11">
        <v>1</v>
      </c>
    </row>
    <row r="4" spans="1:3">
      <c r="A4" s="8">
        <v>3</v>
      </c>
      <c r="B4" s="10" t="s">
        <v>7</v>
      </c>
      <c r="C4" s="11">
        <v>1</v>
      </c>
    </row>
    <row r="5" spans="1:3">
      <c r="A5" s="8">
        <v>4</v>
      </c>
      <c r="B5" s="10" t="s">
        <v>8</v>
      </c>
      <c r="C5" s="11">
        <v>1</v>
      </c>
    </row>
    <row r="6" spans="1:3">
      <c r="A6" s="8">
        <v>5</v>
      </c>
      <c r="B6" s="10" t="s">
        <v>9</v>
      </c>
      <c r="C6" s="11">
        <v>1</v>
      </c>
    </row>
    <row r="7" spans="1:3">
      <c r="A7" s="8">
        <v>6</v>
      </c>
      <c r="B7" s="10" t="s">
        <v>10</v>
      </c>
      <c r="C7" s="11">
        <v>0</v>
      </c>
    </row>
    <row r="8" spans="1:3">
      <c r="A8" s="8">
        <v>7</v>
      </c>
      <c r="B8" s="10" t="s">
        <v>11</v>
      </c>
      <c r="C8" s="11">
        <v>1</v>
      </c>
    </row>
    <row r="9" spans="1:3">
      <c r="A9" s="8">
        <v>8</v>
      </c>
      <c r="B9" s="10" t="s">
        <v>12</v>
      </c>
      <c r="C9" s="11">
        <v>2</v>
      </c>
    </row>
    <row r="10" spans="1:3">
      <c r="A10" s="8">
        <v>9</v>
      </c>
      <c r="B10" s="10" t="s">
        <v>13</v>
      </c>
      <c r="C10" s="11">
        <v>0</v>
      </c>
    </row>
    <row r="11" spans="1:3">
      <c r="A11" s="8">
        <v>10</v>
      </c>
      <c r="B11" s="10" t="s">
        <v>14</v>
      </c>
      <c r="C11" s="11">
        <v>2</v>
      </c>
    </row>
    <row r="12" spans="1:3">
      <c r="A12" s="8">
        <v>11</v>
      </c>
      <c r="B12" s="10" t="s">
        <v>15</v>
      </c>
      <c r="C12" s="11">
        <v>2</v>
      </c>
    </row>
    <row r="13" spans="1:3">
      <c r="A13" s="8">
        <v>12</v>
      </c>
      <c r="B13" s="10" t="s">
        <v>16</v>
      </c>
      <c r="C13" s="11">
        <v>2</v>
      </c>
    </row>
    <row r="14" spans="1:3">
      <c r="A14" s="8">
        <v>13</v>
      </c>
      <c r="B14" s="10" t="s">
        <v>17</v>
      </c>
      <c r="C14" s="11">
        <v>1</v>
      </c>
    </row>
    <row r="15" spans="1:3">
      <c r="A15" s="8">
        <v>14</v>
      </c>
      <c r="B15" s="10" t="s">
        <v>18</v>
      </c>
      <c r="C15" s="11">
        <v>0</v>
      </c>
    </row>
    <row r="16" spans="1:3">
      <c r="A16" s="8">
        <v>15</v>
      </c>
      <c r="B16" s="10" t="s">
        <v>19</v>
      </c>
      <c r="C16" s="11">
        <v>1</v>
      </c>
    </row>
    <row r="17" spans="1:3">
      <c r="A17" s="8">
        <v>16</v>
      </c>
      <c r="B17" s="10" t="s">
        <v>20</v>
      </c>
      <c r="C17" s="11">
        <v>1</v>
      </c>
    </row>
    <row r="18" spans="1:3">
      <c r="A18" s="8">
        <v>17</v>
      </c>
      <c r="B18" s="10" t="s">
        <v>22</v>
      </c>
      <c r="C18" s="11">
        <v>1</v>
      </c>
    </row>
    <row r="19" spans="1:3">
      <c r="A19" s="8">
        <v>18</v>
      </c>
      <c r="B19" s="10" t="s">
        <v>23</v>
      </c>
      <c r="C19" s="11">
        <v>0</v>
      </c>
    </row>
    <row r="20" spans="1:3">
      <c r="A20" s="8">
        <v>19</v>
      </c>
      <c r="B20" s="10" t="s">
        <v>24</v>
      </c>
      <c r="C20" s="11">
        <v>1</v>
      </c>
    </row>
    <row r="21" spans="1:3">
      <c r="A21" s="8">
        <v>20</v>
      </c>
      <c r="B21" s="10" t="s">
        <v>25</v>
      </c>
      <c r="C21" s="11">
        <v>1</v>
      </c>
    </row>
    <row r="22" spans="1:3">
      <c r="A22" s="8">
        <v>21</v>
      </c>
      <c r="B22" s="10" t="s">
        <v>26</v>
      </c>
      <c r="C22" s="11">
        <v>0</v>
      </c>
    </row>
    <row r="23" spans="1:3">
      <c r="A23" s="8">
        <v>22</v>
      </c>
      <c r="B23" s="10" t="s">
        <v>27</v>
      </c>
      <c r="C23" s="11">
        <v>1</v>
      </c>
    </row>
    <row r="24" spans="1:3">
      <c r="A24" s="8">
        <v>23</v>
      </c>
      <c r="B24" s="10" t="s">
        <v>28</v>
      </c>
      <c r="C24" s="11">
        <v>0</v>
      </c>
    </row>
    <row r="25" spans="1:3">
      <c r="A25" s="8">
        <v>24</v>
      </c>
      <c r="B25" s="10" t="s">
        <v>29</v>
      </c>
      <c r="C25" s="11">
        <v>1</v>
      </c>
    </row>
    <row r="26" spans="1:3">
      <c r="A26" s="8">
        <v>25</v>
      </c>
      <c r="B26" s="10" t="s">
        <v>30</v>
      </c>
      <c r="C26" s="11">
        <v>1</v>
      </c>
    </row>
    <row r="27" spans="1:3">
      <c r="A27" s="8">
        <v>26</v>
      </c>
      <c r="B27" s="10" t="s">
        <v>31</v>
      </c>
      <c r="C27" s="11">
        <v>0</v>
      </c>
    </row>
    <row r="28" spans="1:3">
      <c r="A28" s="8">
        <v>27</v>
      </c>
      <c r="B28" s="10" t="s">
        <v>32</v>
      </c>
      <c r="C28" s="11">
        <v>1</v>
      </c>
    </row>
    <row r="29" spans="1:3">
      <c r="A29" s="8">
        <v>28</v>
      </c>
      <c r="B29" s="10" t="s">
        <v>33</v>
      </c>
      <c r="C29" s="11">
        <v>1</v>
      </c>
    </row>
    <row r="30" spans="1:3">
      <c r="A30" s="8">
        <v>29</v>
      </c>
      <c r="B30" s="10" t="s">
        <v>34</v>
      </c>
      <c r="C30" s="11">
        <v>1</v>
      </c>
    </row>
    <row r="31" spans="1:3">
      <c r="A31" s="8">
        <v>30</v>
      </c>
      <c r="B31" s="10" t="s">
        <v>35</v>
      </c>
      <c r="C31" s="11">
        <v>1</v>
      </c>
    </row>
    <row r="32" spans="1:3">
      <c r="A32" s="8">
        <v>31</v>
      </c>
      <c r="B32" s="10" t="s">
        <v>36</v>
      </c>
      <c r="C32" s="11">
        <v>0</v>
      </c>
    </row>
    <row r="33" spans="1:3">
      <c r="A33" s="8">
        <v>32</v>
      </c>
      <c r="B33" s="10" t="s">
        <v>37</v>
      </c>
      <c r="C33" s="11">
        <v>2</v>
      </c>
    </row>
    <row r="34" spans="1:3">
      <c r="A34" s="8">
        <v>33</v>
      </c>
      <c r="B34" s="10" t="s">
        <v>39</v>
      </c>
      <c r="C34" s="11">
        <v>1</v>
      </c>
    </row>
    <row r="35" spans="1:3">
      <c r="A35" s="8">
        <v>34</v>
      </c>
      <c r="B35" s="10" t="s">
        <v>40</v>
      </c>
      <c r="C35" s="11">
        <v>0</v>
      </c>
    </row>
    <row r="36" spans="1:3">
      <c r="A36" s="8">
        <v>35</v>
      </c>
      <c r="B36" s="10" t="s">
        <v>41</v>
      </c>
      <c r="C36" s="11">
        <v>0</v>
      </c>
    </row>
    <row r="37" spans="1:3">
      <c r="A37" s="8">
        <v>36</v>
      </c>
      <c r="B37" s="10" t="s">
        <v>42</v>
      </c>
      <c r="C37" s="11">
        <v>1</v>
      </c>
    </row>
    <row r="38" spans="1:3">
      <c r="A38" s="8">
        <v>37</v>
      </c>
      <c r="B38" s="10" t="s">
        <v>43</v>
      </c>
      <c r="C38" s="11">
        <v>5</v>
      </c>
    </row>
    <row r="39" spans="1:3">
      <c r="A39" s="8">
        <v>38</v>
      </c>
      <c r="B39" s="10" t="s">
        <v>44</v>
      </c>
      <c r="C39" s="11">
        <v>1</v>
      </c>
    </row>
    <row r="40" spans="1:3">
      <c r="A40" s="8">
        <v>39</v>
      </c>
      <c r="B40" s="10" t="s">
        <v>45</v>
      </c>
      <c r="C40" s="11">
        <v>5</v>
      </c>
    </row>
    <row r="41" spans="1:3">
      <c r="A41" s="8">
        <v>40</v>
      </c>
      <c r="B41" s="10" t="s">
        <v>46</v>
      </c>
      <c r="C41" s="11">
        <v>3</v>
      </c>
    </row>
    <row r="42" spans="1:3">
      <c r="A42" s="8">
        <v>41</v>
      </c>
      <c r="B42" s="10" t="s">
        <v>47</v>
      </c>
      <c r="C42" s="11">
        <v>4</v>
      </c>
    </row>
    <row r="43" spans="1:3">
      <c r="A43" s="8">
        <v>42</v>
      </c>
      <c r="B43" s="10" t="s">
        <v>48</v>
      </c>
      <c r="C43" s="11">
        <v>0</v>
      </c>
    </row>
    <row r="44" spans="1:3">
      <c r="A44" s="8">
        <v>43</v>
      </c>
      <c r="B44" s="10" t="s">
        <v>49</v>
      </c>
      <c r="C44" s="11">
        <v>1</v>
      </c>
    </row>
    <row r="45" spans="1:3">
      <c r="A45" s="8">
        <v>44</v>
      </c>
      <c r="B45" s="10" t="s">
        <v>50</v>
      </c>
      <c r="C45" s="11">
        <v>2</v>
      </c>
    </row>
    <row r="46" spans="1:3">
      <c r="A46" s="8">
        <v>45</v>
      </c>
      <c r="B46" s="10" t="s">
        <v>52</v>
      </c>
      <c r="C46" s="11">
        <v>0</v>
      </c>
    </row>
    <row r="47" spans="1:3">
      <c r="A47" s="8">
        <v>46</v>
      </c>
      <c r="B47" s="10" t="s">
        <v>53</v>
      </c>
      <c r="C47" s="11">
        <v>0</v>
      </c>
    </row>
    <row r="48" spans="1:3">
      <c r="A48" s="8">
        <v>47</v>
      </c>
      <c r="B48" s="10" t="s">
        <v>54</v>
      </c>
      <c r="C48" s="11">
        <v>2</v>
      </c>
    </row>
    <row r="49" spans="1:3">
      <c r="A49" s="8">
        <v>48</v>
      </c>
      <c r="B49" s="10" t="s">
        <v>55</v>
      </c>
      <c r="C49" s="11">
        <v>1</v>
      </c>
    </row>
    <row r="50" spans="1:3">
      <c r="A50" s="8">
        <v>49</v>
      </c>
      <c r="B50" s="10" t="s">
        <v>56</v>
      </c>
      <c r="C50" s="11">
        <v>0</v>
      </c>
    </row>
    <row r="51" spans="1:3">
      <c r="A51" s="8">
        <v>50</v>
      </c>
      <c r="B51" s="10" t="s">
        <v>57</v>
      </c>
      <c r="C51" s="11">
        <v>1</v>
      </c>
    </row>
    <row r="52" spans="1:3">
      <c r="A52" s="8">
        <v>51</v>
      </c>
      <c r="B52" s="10" t="s">
        <v>58</v>
      </c>
      <c r="C52" s="11">
        <v>0</v>
      </c>
    </row>
    <row r="53" spans="1:3">
      <c r="A53" s="8">
        <v>52</v>
      </c>
      <c r="B53" s="10" t="s">
        <v>59</v>
      </c>
      <c r="C53" s="11">
        <v>1</v>
      </c>
    </row>
    <row r="54" spans="1:3">
      <c r="A54" s="8">
        <v>53</v>
      </c>
      <c r="B54" s="10" t="s">
        <v>60</v>
      </c>
      <c r="C54" s="11">
        <v>0</v>
      </c>
    </row>
    <row r="55" spans="1:3">
      <c r="A55" s="8">
        <v>54</v>
      </c>
      <c r="B55" s="10" t="s">
        <v>61</v>
      </c>
      <c r="C55" s="11">
        <v>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opLeftCell="A40" workbookViewId="0">
      <selection activeCell="I43" sqref="I43:J44"/>
    </sheetView>
  </sheetViews>
  <sheetFormatPr defaultRowHeight="15"/>
  <cols>
    <col min="1" max="1" width="3.85546875" customWidth="1"/>
    <col min="2" max="2" width="24.85546875" customWidth="1"/>
    <col min="3" max="3" width="4.5703125" customWidth="1"/>
    <col min="4" max="4" width="4.42578125" customWidth="1"/>
    <col min="5" max="5" width="5.5703125" customWidth="1"/>
    <col min="6" max="7" width="4.42578125" customWidth="1"/>
    <col min="8" max="8" width="4.5703125" customWidth="1"/>
    <col min="9" max="9" width="4.42578125" customWidth="1"/>
    <col min="10" max="10" width="5.140625" customWidth="1"/>
    <col min="11" max="11" width="4.85546875" customWidth="1"/>
    <col min="12" max="13" width="5.85546875" customWidth="1"/>
  </cols>
  <sheetData>
    <row r="1" spans="1:13" ht="28.5">
      <c r="A1" s="8"/>
      <c r="B1" s="9" t="s">
        <v>0</v>
      </c>
      <c r="C1" s="9" t="s">
        <v>62</v>
      </c>
      <c r="D1" s="9" t="s">
        <v>63</v>
      </c>
      <c r="E1" s="9" t="s">
        <v>64</v>
      </c>
      <c r="F1" s="9" t="s">
        <v>65</v>
      </c>
      <c r="G1" s="9" t="s">
        <v>66</v>
      </c>
      <c r="H1" s="9" t="s">
        <v>67</v>
      </c>
      <c r="I1" s="9" t="s">
        <v>68</v>
      </c>
      <c r="J1" s="9" t="s">
        <v>69</v>
      </c>
      <c r="K1" s="9" t="s">
        <v>70</v>
      </c>
      <c r="L1" s="9" t="s">
        <v>71</v>
      </c>
      <c r="M1" s="9" t="s">
        <v>2</v>
      </c>
    </row>
    <row r="2" spans="1:13">
      <c r="A2" s="8">
        <v>1</v>
      </c>
      <c r="B2" s="10" t="s">
        <v>4</v>
      </c>
      <c r="C2" s="11" t="s">
        <v>5</v>
      </c>
      <c r="D2" s="11" t="s">
        <v>5</v>
      </c>
      <c r="E2" s="11"/>
      <c r="F2" s="11"/>
      <c r="G2" s="11" t="s">
        <v>5</v>
      </c>
      <c r="H2" s="11"/>
      <c r="I2" s="11" t="s">
        <v>5</v>
      </c>
      <c r="J2" s="11" t="s">
        <v>5</v>
      </c>
      <c r="K2" s="11" t="s">
        <v>5</v>
      </c>
      <c r="L2" s="11"/>
      <c r="M2" s="11">
        <v>6</v>
      </c>
    </row>
    <row r="3" spans="1:13">
      <c r="A3" s="8">
        <v>2</v>
      </c>
      <c r="B3" s="10" t="s">
        <v>6</v>
      </c>
      <c r="C3" s="11"/>
      <c r="D3" s="11"/>
      <c r="E3" s="11"/>
      <c r="F3" s="11"/>
      <c r="G3" s="11"/>
      <c r="H3" s="11"/>
      <c r="I3" s="11"/>
      <c r="J3" s="11"/>
      <c r="K3" s="11"/>
      <c r="L3" s="11" t="s">
        <v>5</v>
      </c>
      <c r="M3" s="11">
        <v>1</v>
      </c>
    </row>
    <row r="4" spans="1:13">
      <c r="A4" s="8">
        <v>3</v>
      </c>
      <c r="B4" s="10" t="s">
        <v>7</v>
      </c>
      <c r="C4" s="11"/>
      <c r="D4" s="11"/>
      <c r="E4" s="11"/>
      <c r="F4" s="11"/>
      <c r="G4" s="11"/>
      <c r="H4" s="11" t="s">
        <v>5</v>
      </c>
      <c r="I4" s="11"/>
      <c r="J4" s="11"/>
      <c r="K4" s="11"/>
      <c r="L4" s="11"/>
      <c r="M4" s="11">
        <v>1</v>
      </c>
    </row>
    <row r="5" spans="1:13">
      <c r="A5" s="8">
        <v>4</v>
      </c>
      <c r="B5" s="10" t="s">
        <v>8</v>
      </c>
      <c r="C5" s="11"/>
      <c r="D5" s="11"/>
      <c r="E5" s="11"/>
      <c r="F5" s="11"/>
      <c r="G5" s="11"/>
      <c r="H5" s="11"/>
      <c r="I5" s="11"/>
      <c r="J5" s="11"/>
      <c r="K5" s="11" t="s">
        <v>5</v>
      </c>
      <c r="L5" s="11"/>
      <c r="M5" s="11">
        <v>1</v>
      </c>
    </row>
    <row r="6" spans="1:13">
      <c r="A6" s="8">
        <v>5</v>
      </c>
      <c r="B6" s="10" t="s">
        <v>9</v>
      </c>
      <c r="C6" s="11"/>
      <c r="D6" s="11"/>
      <c r="E6" s="11"/>
      <c r="F6" s="11" t="s">
        <v>5</v>
      </c>
      <c r="G6" s="11"/>
      <c r="H6" s="11"/>
      <c r="I6" s="11"/>
      <c r="J6" s="11"/>
      <c r="K6" s="11"/>
      <c r="L6" s="11"/>
      <c r="M6" s="11">
        <v>1</v>
      </c>
    </row>
    <row r="7" spans="1:13">
      <c r="A7" s="8">
        <v>6</v>
      </c>
      <c r="B7" s="10" t="s">
        <v>10</v>
      </c>
      <c r="C7" s="11"/>
      <c r="D7" s="11"/>
      <c r="E7" s="11"/>
      <c r="F7" s="11"/>
      <c r="G7" s="11"/>
      <c r="H7" s="11"/>
      <c r="I7" s="11"/>
      <c r="J7" s="11"/>
      <c r="K7" s="11"/>
      <c r="L7" s="11"/>
      <c r="M7" s="11">
        <v>0</v>
      </c>
    </row>
    <row r="8" spans="1:13">
      <c r="A8" s="8">
        <v>7</v>
      </c>
      <c r="B8" s="10" t="s">
        <v>11</v>
      </c>
      <c r="C8" s="11"/>
      <c r="D8" s="11"/>
      <c r="E8" s="11"/>
      <c r="F8" s="11"/>
      <c r="G8" s="11"/>
      <c r="H8" s="11"/>
      <c r="I8" s="11"/>
      <c r="J8" s="11"/>
      <c r="K8" s="11"/>
      <c r="L8" s="11" t="s">
        <v>5</v>
      </c>
      <c r="M8" s="11">
        <v>1</v>
      </c>
    </row>
    <row r="9" spans="1:13">
      <c r="A9" s="8">
        <v>8</v>
      </c>
      <c r="B9" s="10" t="s">
        <v>12</v>
      </c>
      <c r="C9" s="11"/>
      <c r="D9" s="11"/>
      <c r="E9" s="11"/>
      <c r="F9" s="11"/>
      <c r="G9" s="11" t="s">
        <v>5</v>
      </c>
      <c r="H9" s="11"/>
      <c r="I9" s="11"/>
      <c r="J9" s="11"/>
      <c r="K9" s="11"/>
      <c r="L9" s="11" t="s">
        <v>5</v>
      </c>
      <c r="M9" s="11">
        <v>2</v>
      </c>
    </row>
    <row r="10" spans="1:13">
      <c r="A10" s="8">
        <v>9</v>
      </c>
      <c r="B10" s="10" t="s">
        <v>13</v>
      </c>
      <c r="C10" s="11"/>
      <c r="D10" s="11"/>
      <c r="E10" s="11"/>
      <c r="F10" s="11"/>
      <c r="G10" s="11"/>
      <c r="H10" s="11"/>
      <c r="I10" s="11"/>
      <c r="J10" s="11"/>
      <c r="K10" s="11"/>
      <c r="L10" s="11"/>
      <c r="M10" s="11">
        <v>0</v>
      </c>
    </row>
    <row r="11" spans="1:13">
      <c r="A11" s="8">
        <v>10</v>
      </c>
      <c r="B11" s="10" t="s">
        <v>14</v>
      </c>
      <c r="C11" s="11"/>
      <c r="D11" s="11"/>
      <c r="E11" s="11"/>
      <c r="F11" s="11"/>
      <c r="G11" s="11"/>
      <c r="H11" s="11"/>
      <c r="I11" s="11"/>
      <c r="J11" s="11"/>
      <c r="K11" s="11" t="s">
        <v>5</v>
      </c>
      <c r="L11" s="11" t="s">
        <v>5</v>
      </c>
      <c r="M11" s="11">
        <v>2</v>
      </c>
    </row>
    <row r="12" spans="1:13">
      <c r="A12" s="8">
        <v>11</v>
      </c>
      <c r="B12" s="10" t="s">
        <v>15</v>
      </c>
      <c r="C12" s="11"/>
      <c r="D12" s="11"/>
      <c r="E12" s="11"/>
      <c r="F12" s="11"/>
      <c r="G12" s="11"/>
      <c r="H12" s="11" t="s">
        <v>5</v>
      </c>
      <c r="I12" s="11"/>
      <c r="J12" s="11"/>
      <c r="K12" s="11"/>
      <c r="L12" s="11" t="s">
        <v>5</v>
      </c>
      <c r="M12" s="11">
        <v>2</v>
      </c>
    </row>
    <row r="13" spans="1:13">
      <c r="A13" s="8">
        <v>12</v>
      </c>
      <c r="B13" s="10" t="s">
        <v>16</v>
      </c>
      <c r="C13" s="11" t="s">
        <v>5</v>
      </c>
      <c r="D13" s="11"/>
      <c r="E13" s="11"/>
      <c r="F13" s="11"/>
      <c r="G13" s="11"/>
      <c r="H13" s="11"/>
      <c r="I13" s="11"/>
      <c r="J13" s="11"/>
      <c r="K13" s="11" t="s">
        <v>5</v>
      </c>
      <c r="L13" s="11"/>
      <c r="M13" s="11">
        <v>2</v>
      </c>
    </row>
    <row r="14" spans="1:13">
      <c r="A14" s="8">
        <v>13</v>
      </c>
      <c r="B14" s="10" t="s">
        <v>17</v>
      </c>
      <c r="C14" s="11"/>
      <c r="D14" s="11"/>
      <c r="E14" s="11"/>
      <c r="F14" s="11"/>
      <c r="G14" s="11"/>
      <c r="H14" s="11"/>
      <c r="I14" s="11"/>
      <c r="J14" s="11"/>
      <c r="K14" s="11"/>
      <c r="L14" s="11" t="s">
        <v>5</v>
      </c>
      <c r="M14" s="11">
        <v>1</v>
      </c>
    </row>
    <row r="15" spans="1:13">
      <c r="A15" s="8">
        <v>14</v>
      </c>
      <c r="B15" s="10" t="s">
        <v>18</v>
      </c>
      <c r="C15" s="11"/>
      <c r="D15" s="11"/>
      <c r="E15" s="11"/>
      <c r="F15" s="11"/>
      <c r="G15" s="11"/>
      <c r="H15" s="11"/>
      <c r="I15" s="11"/>
      <c r="J15" s="11"/>
      <c r="K15" s="11"/>
      <c r="L15" s="11"/>
      <c r="M15" s="11">
        <v>0</v>
      </c>
    </row>
    <row r="16" spans="1:13">
      <c r="A16" s="8">
        <v>15</v>
      </c>
      <c r="B16" s="10" t="s">
        <v>19</v>
      </c>
      <c r="C16" s="11"/>
      <c r="D16" s="11" t="s">
        <v>5</v>
      </c>
      <c r="E16" s="11"/>
      <c r="F16" s="11"/>
      <c r="G16" s="11"/>
      <c r="H16" s="11"/>
      <c r="I16" s="11"/>
      <c r="J16" s="11"/>
      <c r="K16" s="11"/>
      <c r="L16" s="11"/>
      <c r="M16" s="11">
        <v>1</v>
      </c>
    </row>
    <row r="17" spans="1:13">
      <c r="A17" s="8">
        <v>16</v>
      </c>
      <c r="B17" s="10" t="s">
        <v>20</v>
      </c>
      <c r="C17" s="11"/>
      <c r="D17" s="11"/>
      <c r="E17" s="11"/>
      <c r="F17" s="11"/>
      <c r="G17" s="11" t="s">
        <v>5</v>
      </c>
      <c r="H17" s="11"/>
      <c r="I17" s="11"/>
      <c r="J17" s="11"/>
      <c r="K17" s="11"/>
      <c r="L17" s="11"/>
      <c r="M17" s="11">
        <v>1</v>
      </c>
    </row>
    <row r="18" spans="1:13">
      <c r="A18" s="8">
        <v>17</v>
      </c>
      <c r="B18" s="10" t="s">
        <v>22</v>
      </c>
      <c r="C18" s="11"/>
      <c r="D18" s="11" t="s">
        <v>5</v>
      </c>
      <c r="E18" s="11"/>
      <c r="F18" s="11"/>
      <c r="G18" s="11"/>
      <c r="H18" s="11"/>
      <c r="I18" s="11"/>
      <c r="J18" s="11"/>
      <c r="K18" s="11"/>
      <c r="L18" s="11"/>
      <c r="M18" s="11">
        <v>1</v>
      </c>
    </row>
    <row r="19" spans="1:13">
      <c r="A19" s="8">
        <v>18</v>
      </c>
      <c r="B19" s="10" t="s">
        <v>23</v>
      </c>
      <c r="C19" s="11"/>
      <c r="D19" s="11"/>
      <c r="E19" s="11"/>
      <c r="F19" s="11"/>
      <c r="G19" s="11"/>
      <c r="H19" s="11"/>
      <c r="I19" s="11"/>
      <c r="J19" s="11"/>
      <c r="K19" s="11"/>
      <c r="L19" s="11"/>
      <c r="M19" s="11">
        <v>0</v>
      </c>
    </row>
    <row r="20" spans="1:13">
      <c r="A20" s="8">
        <v>19</v>
      </c>
      <c r="B20" s="10" t="s">
        <v>24</v>
      </c>
      <c r="C20" s="11"/>
      <c r="D20" s="11"/>
      <c r="E20" s="11"/>
      <c r="F20" s="11" t="s">
        <v>5</v>
      </c>
      <c r="G20" s="11"/>
      <c r="H20" s="11"/>
      <c r="I20" s="11"/>
      <c r="J20" s="11"/>
      <c r="K20" s="11"/>
      <c r="L20" s="11"/>
      <c r="M20" s="11">
        <v>1</v>
      </c>
    </row>
    <row r="21" spans="1:13">
      <c r="A21" s="8">
        <v>20</v>
      </c>
      <c r="B21" s="10" t="s">
        <v>25</v>
      </c>
      <c r="C21" s="11"/>
      <c r="D21" s="11"/>
      <c r="E21" s="11"/>
      <c r="F21" s="11"/>
      <c r="G21" s="11" t="s">
        <v>5</v>
      </c>
      <c r="H21" s="11"/>
      <c r="I21" s="11"/>
      <c r="J21" s="11"/>
      <c r="K21" s="11"/>
      <c r="L21" s="11"/>
      <c r="M21" s="11">
        <v>1</v>
      </c>
    </row>
    <row r="22" spans="1:13">
      <c r="A22" s="8">
        <v>21</v>
      </c>
      <c r="B22" s="10" t="s">
        <v>26</v>
      </c>
      <c r="C22" s="11"/>
      <c r="D22" s="11"/>
      <c r="E22" s="11"/>
      <c r="F22" s="11"/>
      <c r="G22" s="11"/>
      <c r="H22" s="11"/>
      <c r="I22" s="11"/>
      <c r="J22" s="11"/>
      <c r="K22" s="11"/>
      <c r="L22" s="11"/>
      <c r="M22" s="11">
        <v>0</v>
      </c>
    </row>
    <row r="23" spans="1:13">
      <c r="A23" s="8">
        <v>22</v>
      </c>
      <c r="B23" s="10" t="s">
        <v>27</v>
      </c>
      <c r="C23" s="11"/>
      <c r="D23" s="11"/>
      <c r="E23" s="11"/>
      <c r="F23" s="11" t="s">
        <v>5</v>
      </c>
      <c r="G23" s="11"/>
      <c r="H23" s="11"/>
      <c r="I23" s="11"/>
      <c r="J23" s="11"/>
      <c r="K23" s="11"/>
      <c r="L23" s="11"/>
      <c r="M23" s="11">
        <v>1</v>
      </c>
    </row>
    <row r="24" spans="1:13">
      <c r="A24" s="8">
        <v>23</v>
      </c>
      <c r="B24" s="10" t="s">
        <v>28</v>
      </c>
      <c r="C24" s="11"/>
      <c r="D24" s="11"/>
      <c r="E24" s="11"/>
      <c r="F24" s="11"/>
      <c r="G24" s="11"/>
      <c r="H24" s="11"/>
      <c r="I24" s="11"/>
      <c r="J24" s="11"/>
      <c r="K24" s="11"/>
      <c r="L24" s="11"/>
      <c r="M24" s="11">
        <v>0</v>
      </c>
    </row>
    <row r="25" spans="1:13">
      <c r="A25" s="8">
        <v>24</v>
      </c>
      <c r="B25" s="10" t="s">
        <v>29</v>
      </c>
      <c r="C25" s="11"/>
      <c r="D25" s="11"/>
      <c r="E25" s="11"/>
      <c r="F25" s="11"/>
      <c r="G25" s="11" t="s">
        <v>5</v>
      </c>
      <c r="H25" s="11"/>
      <c r="I25" s="11"/>
      <c r="J25" s="11"/>
      <c r="K25" s="11"/>
      <c r="L25" s="11"/>
      <c r="M25" s="11">
        <v>1</v>
      </c>
    </row>
    <row r="26" spans="1:13">
      <c r="A26" s="8">
        <v>25</v>
      </c>
      <c r="B26" s="10" t="s">
        <v>30</v>
      </c>
      <c r="C26" s="11"/>
      <c r="D26" s="11"/>
      <c r="E26" s="11" t="s">
        <v>5</v>
      </c>
      <c r="F26" s="11"/>
      <c r="G26" s="11"/>
      <c r="H26" s="11"/>
      <c r="I26" s="11"/>
      <c r="J26" s="11"/>
      <c r="K26" s="11"/>
      <c r="L26" s="11"/>
      <c r="M26" s="11">
        <v>1</v>
      </c>
    </row>
    <row r="27" spans="1:13">
      <c r="A27" s="8">
        <v>26</v>
      </c>
      <c r="B27" s="10" t="s">
        <v>31</v>
      </c>
      <c r="C27" s="11"/>
      <c r="D27" s="11"/>
      <c r="E27" s="11"/>
      <c r="F27" s="11"/>
      <c r="G27" s="11"/>
      <c r="H27" s="11"/>
      <c r="I27" s="11"/>
      <c r="J27" s="11"/>
      <c r="K27" s="11"/>
      <c r="L27" s="11"/>
      <c r="M27" s="11">
        <v>0</v>
      </c>
    </row>
    <row r="28" spans="1:13">
      <c r="A28" s="8">
        <v>27</v>
      </c>
      <c r="B28" s="10" t="s">
        <v>32</v>
      </c>
      <c r="C28" s="11"/>
      <c r="D28" s="11"/>
      <c r="E28" s="11"/>
      <c r="F28" s="11" t="s">
        <v>5</v>
      </c>
      <c r="G28" s="11"/>
      <c r="H28" s="11"/>
      <c r="I28" s="11"/>
      <c r="J28" s="11"/>
      <c r="K28" s="11"/>
      <c r="L28" s="11"/>
      <c r="M28" s="11">
        <v>1</v>
      </c>
    </row>
    <row r="29" spans="1:13">
      <c r="A29" s="8">
        <v>28</v>
      </c>
      <c r="B29" s="10" t="s">
        <v>33</v>
      </c>
      <c r="C29" s="11"/>
      <c r="D29" s="11"/>
      <c r="E29" s="11"/>
      <c r="F29" s="11"/>
      <c r="G29" s="11"/>
      <c r="H29" s="11"/>
      <c r="I29" s="11"/>
      <c r="J29" s="11"/>
      <c r="K29" s="11"/>
      <c r="L29" s="11" t="s">
        <v>5</v>
      </c>
      <c r="M29" s="11">
        <v>1</v>
      </c>
    </row>
    <row r="30" spans="1:13">
      <c r="A30" s="8">
        <v>29</v>
      </c>
      <c r="B30" s="10" t="s">
        <v>34</v>
      </c>
      <c r="C30" s="11"/>
      <c r="D30" s="11"/>
      <c r="E30" s="11"/>
      <c r="F30" s="11"/>
      <c r="G30" s="11" t="s">
        <v>5</v>
      </c>
      <c r="H30" s="11"/>
      <c r="I30" s="11"/>
      <c r="J30" s="11"/>
      <c r="K30" s="11"/>
      <c r="L30" s="11"/>
      <c r="M30" s="11">
        <v>1</v>
      </c>
    </row>
    <row r="31" spans="1:13">
      <c r="A31" s="8">
        <v>30</v>
      </c>
      <c r="B31" s="10" t="s">
        <v>35</v>
      </c>
      <c r="C31" s="11"/>
      <c r="D31" s="11"/>
      <c r="E31" s="11"/>
      <c r="F31" s="11"/>
      <c r="G31" s="11" t="s">
        <v>5</v>
      </c>
      <c r="H31" s="11"/>
      <c r="I31" s="11"/>
      <c r="J31" s="11"/>
      <c r="K31" s="11"/>
      <c r="L31" s="11"/>
      <c r="M31" s="11">
        <v>1</v>
      </c>
    </row>
    <row r="32" spans="1:13">
      <c r="A32" s="8">
        <v>31</v>
      </c>
      <c r="B32" s="10" t="s">
        <v>36</v>
      </c>
      <c r="C32" s="11"/>
      <c r="D32" s="11"/>
      <c r="E32" s="11"/>
      <c r="F32" s="11"/>
      <c r="G32" s="11"/>
      <c r="H32" s="11"/>
      <c r="I32" s="11"/>
      <c r="J32" s="11"/>
      <c r="K32" s="11"/>
      <c r="L32" s="11"/>
      <c r="M32" s="11">
        <v>0</v>
      </c>
    </row>
    <row r="33" spans="1:13">
      <c r="A33" s="8">
        <v>32</v>
      </c>
      <c r="B33" s="10" t="s">
        <v>37</v>
      </c>
      <c r="C33" s="11" t="s">
        <v>5</v>
      </c>
      <c r="D33" s="11"/>
      <c r="E33" s="11" t="s">
        <v>5</v>
      </c>
      <c r="F33" s="11"/>
      <c r="G33" s="11"/>
      <c r="H33" s="11"/>
      <c r="I33" s="11"/>
      <c r="J33" s="11"/>
      <c r="K33" s="11"/>
      <c r="L33" s="11"/>
      <c r="M33" s="11">
        <v>2</v>
      </c>
    </row>
    <row r="34" spans="1:13">
      <c r="A34" s="8">
        <v>33</v>
      </c>
      <c r="B34" s="10" t="s">
        <v>39</v>
      </c>
      <c r="C34" s="11"/>
      <c r="D34" s="11"/>
      <c r="E34" s="11"/>
      <c r="F34" s="11" t="s">
        <v>5</v>
      </c>
      <c r="G34" s="11"/>
      <c r="H34" s="11"/>
      <c r="I34" s="11"/>
      <c r="J34" s="11"/>
      <c r="K34" s="11"/>
      <c r="L34" s="11"/>
      <c r="M34" s="11">
        <v>1</v>
      </c>
    </row>
    <row r="35" spans="1:13">
      <c r="A35" s="8">
        <v>34</v>
      </c>
      <c r="B35" s="10" t="s">
        <v>40</v>
      </c>
      <c r="C35" s="11"/>
      <c r="D35" s="11"/>
      <c r="E35" s="11"/>
      <c r="F35" s="11"/>
      <c r="G35" s="11"/>
      <c r="H35" s="11"/>
      <c r="I35" s="11"/>
      <c r="J35" s="11"/>
      <c r="K35" s="11"/>
      <c r="L35" s="11"/>
      <c r="M35" s="11">
        <v>0</v>
      </c>
    </row>
    <row r="36" spans="1:13">
      <c r="A36" s="8">
        <v>35</v>
      </c>
      <c r="B36" s="10" t="s">
        <v>41</v>
      </c>
      <c r="C36" s="11"/>
      <c r="D36" s="11"/>
      <c r="E36" s="11"/>
      <c r="F36" s="11"/>
      <c r="G36" s="11"/>
      <c r="H36" s="11"/>
      <c r="I36" s="11"/>
      <c r="J36" s="11"/>
      <c r="K36" s="11"/>
      <c r="L36" s="11"/>
      <c r="M36" s="11">
        <v>0</v>
      </c>
    </row>
    <row r="37" spans="1:13">
      <c r="A37" s="8">
        <v>36</v>
      </c>
      <c r="B37" s="10" t="s">
        <v>42</v>
      </c>
      <c r="C37" s="11"/>
      <c r="D37" s="11"/>
      <c r="E37" s="11"/>
      <c r="F37" s="11"/>
      <c r="G37" s="11"/>
      <c r="H37" s="11" t="s">
        <v>5</v>
      </c>
      <c r="I37" s="11"/>
      <c r="J37" s="11"/>
      <c r="K37" s="11"/>
      <c r="L37" s="11"/>
      <c r="M37" s="11">
        <v>1</v>
      </c>
    </row>
    <row r="38" spans="1:13">
      <c r="A38" s="8">
        <v>37</v>
      </c>
      <c r="B38" s="10" t="s">
        <v>43</v>
      </c>
      <c r="C38" s="11" t="s">
        <v>5</v>
      </c>
      <c r="D38" s="11" t="s">
        <v>5</v>
      </c>
      <c r="E38" s="11"/>
      <c r="F38" s="11" t="s">
        <v>5</v>
      </c>
      <c r="G38" s="11" t="s">
        <v>5</v>
      </c>
      <c r="H38" s="11"/>
      <c r="I38" s="11"/>
      <c r="J38" s="11"/>
      <c r="K38" s="11"/>
      <c r="L38" s="11" t="s">
        <v>5</v>
      </c>
      <c r="M38" s="11">
        <v>5</v>
      </c>
    </row>
    <row r="39" spans="1:13">
      <c r="A39" s="8">
        <v>38</v>
      </c>
      <c r="B39" s="10" t="s">
        <v>44</v>
      </c>
      <c r="C39" s="11"/>
      <c r="D39" s="11"/>
      <c r="E39" s="11"/>
      <c r="F39" s="11"/>
      <c r="G39" s="11"/>
      <c r="H39" s="11"/>
      <c r="I39" s="11"/>
      <c r="J39" s="11"/>
      <c r="K39" s="11"/>
      <c r="L39" s="11" t="s">
        <v>5</v>
      </c>
      <c r="M39" s="11">
        <v>1</v>
      </c>
    </row>
    <row r="40" spans="1:13">
      <c r="A40" s="8">
        <v>39</v>
      </c>
      <c r="B40" s="10" t="s">
        <v>45</v>
      </c>
      <c r="C40" s="11" t="s">
        <v>5</v>
      </c>
      <c r="D40" s="11" t="s">
        <v>5</v>
      </c>
      <c r="E40" s="11"/>
      <c r="F40" s="11"/>
      <c r="G40" s="11" t="s">
        <v>5</v>
      </c>
      <c r="H40" s="11"/>
      <c r="I40" s="11"/>
      <c r="J40" s="11"/>
      <c r="K40" s="11" t="s">
        <v>5</v>
      </c>
      <c r="L40" s="11" t="s">
        <v>5</v>
      </c>
      <c r="M40" s="11">
        <v>5</v>
      </c>
    </row>
    <row r="41" spans="1:13">
      <c r="A41" s="8">
        <v>40</v>
      </c>
      <c r="B41" s="10" t="s">
        <v>46</v>
      </c>
      <c r="C41" s="12"/>
      <c r="D41" s="11" t="s">
        <v>5</v>
      </c>
      <c r="E41" s="11"/>
      <c r="F41" s="11" t="s">
        <v>5</v>
      </c>
      <c r="G41" s="11" t="s">
        <v>5</v>
      </c>
      <c r="H41" s="11"/>
      <c r="I41" s="11"/>
      <c r="J41" s="11"/>
      <c r="K41" s="11"/>
      <c r="L41" s="11"/>
      <c r="M41" s="11">
        <v>3</v>
      </c>
    </row>
    <row r="42" spans="1:13">
      <c r="A42" s="8">
        <v>41</v>
      </c>
      <c r="B42" s="10" t="s">
        <v>47</v>
      </c>
      <c r="C42" s="11" t="s">
        <v>5</v>
      </c>
      <c r="D42" s="11"/>
      <c r="E42" s="11" t="s">
        <v>5</v>
      </c>
      <c r="F42" s="11"/>
      <c r="G42" s="11"/>
      <c r="H42" s="11"/>
      <c r="I42" s="11" t="s">
        <v>5</v>
      </c>
      <c r="J42" s="11"/>
      <c r="K42" s="11"/>
      <c r="L42" s="11" t="s">
        <v>5</v>
      </c>
      <c r="M42" s="11">
        <v>4</v>
      </c>
    </row>
    <row r="43" spans="1:13">
      <c r="A43" s="8">
        <v>42</v>
      </c>
      <c r="B43" s="10" t="s">
        <v>48</v>
      </c>
      <c r="C43" s="11"/>
      <c r="D43" s="11"/>
      <c r="E43" s="11"/>
      <c r="F43" s="11"/>
      <c r="G43" s="11"/>
      <c r="H43" s="11"/>
      <c r="I43" s="11"/>
      <c r="J43" s="11"/>
      <c r="K43" s="11"/>
      <c r="L43" s="11"/>
      <c r="M43" s="11">
        <v>0</v>
      </c>
    </row>
    <row r="44" spans="1:13">
      <c r="A44" s="8">
        <v>43</v>
      </c>
      <c r="B44" s="10" t="s">
        <v>49</v>
      </c>
      <c r="C44" s="11"/>
      <c r="D44" s="11"/>
      <c r="E44" s="11"/>
      <c r="F44" s="11"/>
      <c r="G44" s="11" t="s">
        <v>5</v>
      </c>
      <c r="H44" s="11"/>
      <c r="I44" s="11"/>
      <c r="J44" s="11"/>
      <c r="K44" s="11"/>
      <c r="L44" s="11"/>
      <c r="M44" s="11">
        <v>1</v>
      </c>
    </row>
    <row r="45" spans="1:13">
      <c r="A45" s="8">
        <v>44</v>
      </c>
      <c r="B45" s="10" t="s">
        <v>50</v>
      </c>
      <c r="C45" s="11"/>
      <c r="D45" s="11" t="s">
        <v>5</v>
      </c>
      <c r="E45" s="11"/>
      <c r="F45" s="11"/>
      <c r="G45" s="11"/>
      <c r="H45" s="11" t="s">
        <v>5</v>
      </c>
      <c r="I45" s="11"/>
      <c r="J45" s="11"/>
      <c r="K45" s="11"/>
      <c r="L45" s="11"/>
      <c r="M45" s="11">
        <v>2</v>
      </c>
    </row>
    <row r="46" spans="1:13">
      <c r="A46" s="8">
        <v>45</v>
      </c>
      <c r="B46" s="10" t="s">
        <v>52</v>
      </c>
      <c r="C46" s="11"/>
      <c r="D46" s="11"/>
      <c r="E46" s="11"/>
      <c r="F46" s="11"/>
      <c r="G46" s="11"/>
      <c r="H46" s="11"/>
      <c r="I46" s="11"/>
      <c r="J46" s="11"/>
      <c r="K46" s="11"/>
      <c r="L46" s="11"/>
      <c r="M46" s="11">
        <v>0</v>
      </c>
    </row>
    <row r="47" spans="1:13">
      <c r="A47" s="8">
        <v>46</v>
      </c>
      <c r="B47" s="10" t="s">
        <v>53</v>
      </c>
      <c r="C47" s="11"/>
      <c r="D47" s="11"/>
      <c r="E47" s="11"/>
      <c r="F47" s="11"/>
      <c r="G47" s="11"/>
      <c r="H47" s="11"/>
      <c r="I47" s="11"/>
      <c r="J47" s="11"/>
      <c r="K47" s="11"/>
      <c r="L47" s="11"/>
      <c r="M47" s="11">
        <v>0</v>
      </c>
    </row>
    <row r="48" spans="1:13">
      <c r="A48" s="8">
        <v>47</v>
      </c>
      <c r="B48" s="10" t="s">
        <v>54</v>
      </c>
      <c r="C48" s="11" t="s">
        <v>5</v>
      </c>
      <c r="D48" s="11"/>
      <c r="E48" s="11"/>
      <c r="F48" s="11"/>
      <c r="G48" s="11"/>
      <c r="H48" s="11"/>
      <c r="I48" s="11"/>
      <c r="J48" s="11"/>
      <c r="K48" s="11"/>
      <c r="L48" s="11" t="s">
        <v>5</v>
      </c>
      <c r="M48" s="11">
        <v>2</v>
      </c>
    </row>
    <row r="49" spans="1:13">
      <c r="A49" s="8">
        <v>48</v>
      </c>
      <c r="B49" s="10" t="s">
        <v>55</v>
      </c>
      <c r="C49" s="11"/>
      <c r="D49" s="11" t="s">
        <v>5</v>
      </c>
      <c r="E49" s="11"/>
      <c r="F49" s="11"/>
      <c r="G49" s="11"/>
      <c r="H49" s="11"/>
      <c r="I49" s="11"/>
      <c r="J49" s="11"/>
      <c r="K49" s="11"/>
      <c r="L49" s="11"/>
      <c r="M49" s="11">
        <v>1</v>
      </c>
    </row>
    <row r="50" spans="1:13">
      <c r="A50" s="8">
        <v>49</v>
      </c>
      <c r="B50" s="10" t="s">
        <v>56</v>
      </c>
      <c r="C50" s="11"/>
      <c r="D50" s="11"/>
      <c r="E50" s="11"/>
      <c r="F50" s="11"/>
      <c r="G50" s="11"/>
      <c r="H50" s="11"/>
      <c r="I50" s="11"/>
      <c r="J50" s="11"/>
      <c r="K50" s="11"/>
      <c r="L50" s="11"/>
      <c r="M50" s="11">
        <v>0</v>
      </c>
    </row>
    <row r="51" spans="1:13">
      <c r="A51" s="8">
        <v>50</v>
      </c>
      <c r="B51" s="10" t="s">
        <v>57</v>
      </c>
      <c r="C51" s="11"/>
      <c r="D51" s="11"/>
      <c r="E51" s="11"/>
      <c r="F51" s="11"/>
      <c r="G51" s="11"/>
      <c r="H51" s="11"/>
      <c r="I51" s="11"/>
      <c r="J51" s="11"/>
      <c r="K51" s="11" t="s">
        <v>5</v>
      </c>
      <c r="L51" s="11"/>
      <c r="M51" s="11">
        <v>1</v>
      </c>
    </row>
    <row r="52" spans="1:13">
      <c r="A52" s="8">
        <v>51</v>
      </c>
      <c r="B52" s="10" t="s">
        <v>58</v>
      </c>
      <c r="C52" s="11"/>
      <c r="D52" s="11"/>
      <c r="E52" s="11"/>
      <c r="F52" s="11"/>
      <c r="G52" s="11"/>
      <c r="H52" s="11"/>
      <c r="I52" s="11"/>
      <c r="J52" s="11"/>
      <c r="K52" s="11"/>
      <c r="L52" s="11"/>
      <c r="M52" s="11">
        <v>0</v>
      </c>
    </row>
    <row r="53" spans="1:13">
      <c r="A53" s="8">
        <v>52</v>
      </c>
      <c r="B53" s="10" t="s">
        <v>59</v>
      </c>
      <c r="C53" s="11"/>
      <c r="D53" s="11"/>
      <c r="E53" s="11"/>
      <c r="F53" s="11"/>
      <c r="G53" s="11"/>
      <c r="H53" s="11" t="s">
        <v>5</v>
      </c>
      <c r="I53" s="11"/>
      <c r="J53" s="11"/>
      <c r="K53" s="11"/>
      <c r="L53" s="11"/>
      <c r="M53" s="11">
        <v>1</v>
      </c>
    </row>
    <row r="54" spans="1:13">
      <c r="A54" s="8">
        <v>53</v>
      </c>
      <c r="B54" s="10" t="s">
        <v>60</v>
      </c>
      <c r="C54" s="11"/>
      <c r="D54" s="11"/>
      <c r="E54" s="11"/>
      <c r="F54" s="11"/>
      <c r="G54" s="11"/>
      <c r="H54" s="11"/>
      <c r="I54" s="11"/>
      <c r="J54" s="11"/>
      <c r="K54" s="11"/>
      <c r="L54" s="11"/>
      <c r="M54" s="11">
        <v>0</v>
      </c>
    </row>
    <row r="55" spans="1:13">
      <c r="A55" s="8">
        <v>54</v>
      </c>
      <c r="B55" s="10" t="s">
        <v>61</v>
      </c>
      <c r="C55" s="11"/>
      <c r="D55" s="11"/>
      <c r="E55" s="11" t="s">
        <v>5</v>
      </c>
      <c r="F55" s="11"/>
      <c r="G55" s="11"/>
      <c r="H55" s="11"/>
      <c r="I55" s="11"/>
      <c r="J55" s="11"/>
      <c r="K55" s="11" t="s">
        <v>5</v>
      </c>
      <c r="L55" s="11"/>
      <c r="M55" s="11">
        <v>2</v>
      </c>
    </row>
    <row r="56" spans="1:13">
      <c r="B56" s="13" t="s">
        <v>72</v>
      </c>
      <c r="C56">
        <v>7</v>
      </c>
      <c r="D56">
        <v>6</v>
      </c>
      <c r="E56">
        <v>5</v>
      </c>
      <c r="F56">
        <v>2</v>
      </c>
      <c r="G56">
        <v>1</v>
      </c>
      <c r="H56">
        <v>6</v>
      </c>
      <c r="I56">
        <v>8</v>
      </c>
      <c r="J56">
        <v>3</v>
      </c>
      <c r="K56">
        <v>4</v>
      </c>
      <c r="L56">
        <v>2</v>
      </c>
    </row>
  </sheetData>
  <phoneticPr fontId="5"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1"/>
  <sheetViews>
    <sheetView topLeftCell="AN1" workbookViewId="0">
      <selection activeCell="BG1" sqref="BG1:BG1048576"/>
    </sheetView>
  </sheetViews>
  <sheetFormatPr defaultRowHeight="15"/>
  <cols>
    <col min="1" max="1" width="9.140625" customWidth="1"/>
  </cols>
  <sheetData>
    <row r="1" spans="1:59" ht="29.25" thickBot="1">
      <c r="A1" s="14" t="s">
        <v>73</v>
      </c>
      <c r="B1" s="1" t="s">
        <v>3</v>
      </c>
      <c r="C1" s="1" t="s">
        <v>3</v>
      </c>
      <c r="D1" s="1" t="s">
        <v>3</v>
      </c>
      <c r="E1" s="1" t="s">
        <v>3</v>
      </c>
      <c r="F1" s="1" t="s">
        <v>3</v>
      </c>
      <c r="G1" s="1" t="s">
        <v>3</v>
      </c>
      <c r="H1" s="1" t="s">
        <v>3</v>
      </c>
      <c r="I1" s="1" t="s">
        <v>3</v>
      </c>
      <c r="J1" s="1" t="s">
        <v>3</v>
      </c>
      <c r="K1" s="1" t="s">
        <v>3</v>
      </c>
      <c r="L1" s="1" t="s">
        <v>3</v>
      </c>
      <c r="M1" s="1" t="s">
        <v>3</v>
      </c>
      <c r="N1" s="1" t="s">
        <v>3</v>
      </c>
      <c r="O1" s="1" t="s">
        <v>3</v>
      </c>
      <c r="P1" s="1" t="s">
        <v>3</v>
      </c>
      <c r="Q1" s="1" t="s">
        <v>3</v>
      </c>
      <c r="R1" s="1" t="s">
        <v>86</v>
      </c>
      <c r="S1" s="1" t="s">
        <v>21</v>
      </c>
      <c r="T1" s="1" t="s">
        <v>21</v>
      </c>
      <c r="U1" s="1" t="s">
        <v>21</v>
      </c>
      <c r="V1" s="1" t="s">
        <v>21</v>
      </c>
      <c r="W1" s="1" t="s">
        <v>21</v>
      </c>
      <c r="X1" s="1" t="s">
        <v>21</v>
      </c>
      <c r="Y1" s="1" t="s">
        <v>21</v>
      </c>
      <c r="Z1" s="1" t="s">
        <v>21</v>
      </c>
      <c r="AA1" s="1" t="s">
        <v>21</v>
      </c>
      <c r="AB1" s="1" t="s">
        <v>21</v>
      </c>
      <c r="AC1" s="1" t="s">
        <v>21</v>
      </c>
      <c r="AD1" s="1" t="s">
        <v>21</v>
      </c>
      <c r="AE1" s="1" t="s">
        <v>21</v>
      </c>
      <c r="AF1" s="1" t="s">
        <v>21</v>
      </c>
      <c r="AG1" s="1" t="s">
        <v>21</v>
      </c>
      <c r="AH1" s="1" t="s">
        <v>21</v>
      </c>
      <c r="AI1" s="1" t="s">
        <v>87</v>
      </c>
      <c r="AJ1" s="1" t="s">
        <v>38</v>
      </c>
      <c r="AK1" s="1" t="s">
        <v>38</v>
      </c>
      <c r="AL1" s="1" t="s">
        <v>38</v>
      </c>
      <c r="AM1" s="1" t="s">
        <v>38</v>
      </c>
      <c r="AN1" s="1" t="s">
        <v>38</v>
      </c>
      <c r="AO1" s="1" t="s">
        <v>38</v>
      </c>
      <c r="AP1" s="1" t="s">
        <v>38</v>
      </c>
      <c r="AQ1" s="1" t="s">
        <v>38</v>
      </c>
      <c r="AR1" s="1" t="s">
        <v>38</v>
      </c>
      <c r="AS1" s="1" t="s">
        <v>38</v>
      </c>
      <c r="AT1" s="1" t="s">
        <v>38</v>
      </c>
      <c r="AU1" s="1" t="s">
        <v>38</v>
      </c>
      <c r="AV1" s="1" t="s">
        <v>88</v>
      </c>
      <c r="AW1" s="1" t="s">
        <v>51</v>
      </c>
      <c r="AX1" s="1" t="s">
        <v>51</v>
      </c>
      <c r="AY1" s="1" t="s">
        <v>51</v>
      </c>
      <c r="AZ1" s="1" t="s">
        <v>51</v>
      </c>
      <c r="BA1" s="1" t="s">
        <v>51</v>
      </c>
      <c r="BB1" s="1" t="s">
        <v>51</v>
      </c>
      <c r="BC1" s="1" t="s">
        <v>51</v>
      </c>
      <c r="BD1" s="1" t="s">
        <v>51</v>
      </c>
      <c r="BE1" s="1" t="s">
        <v>51</v>
      </c>
      <c r="BF1" s="1" t="s">
        <v>51</v>
      </c>
      <c r="BG1" s="35" t="s">
        <v>89</v>
      </c>
    </row>
    <row r="2" spans="1:59" ht="15.75" thickBot="1">
      <c r="A2" s="15" t="s">
        <v>62</v>
      </c>
      <c r="B2" s="5">
        <v>1</v>
      </c>
      <c r="C2" s="5">
        <v>0</v>
      </c>
      <c r="D2" s="5">
        <v>0</v>
      </c>
      <c r="E2" s="5">
        <v>0</v>
      </c>
      <c r="F2" s="5">
        <v>0</v>
      </c>
      <c r="G2" s="5">
        <v>0</v>
      </c>
      <c r="H2" s="5">
        <v>0</v>
      </c>
      <c r="I2" s="5">
        <v>0</v>
      </c>
      <c r="J2" s="5">
        <v>0</v>
      </c>
      <c r="K2" s="5">
        <v>0</v>
      </c>
      <c r="L2" s="5">
        <v>0</v>
      </c>
      <c r="M2" s="5">
        <v>1</v>
      </c>
      <c r="N2" s="5">
        <v>0</v>
      </c>
      <c r="O2" s="5">
        <v>0</v>
      </c>
      <c r="P2" s="5">
        <v>0</v>
      </c>
      <c r="Q2" s="5">
        <v>0</v>
      </c>
      <c r="R2" s="5">
        <f t="shared" ref="R2:R31" si="0">SUM(B2:Q2)</f>
        <v>2</v>
      </c>
      <c r="S2" s="5">
        <v>0</v>
      </c>
      <c r="T2" s="5">
        <v>0</v>
      </c>
      <c r="U2" s="5">
        <v>0</v>
      </c>
      <c r="V2" s="5">
        <v>0</v>
      </c>
      <c r="W2" s="5">
        <v>0</v>
      </c>
      <c r="X2" s="5">
        <v>0</v>
      </c>
      <c r="Y2" s="5">
        <v>0</v>
      </c>
      <c r="Z2" s="5">
        <v>0</v>
      </c>
      <c r="AA2" s="5">
        <v>0</v>
      </c>
      <c r="AB2" s="5">
        <v>0</v>
      </c>
      <c r="AC2" s="5">
        <v>0</v>
      </c>
      <c r="AD2" s="5">
        <v>0</v>
      </c>
      <c r="AE2" s="5">
        <v>0</v>
      </c>
      <c r="AF2" s="5">
        <v>0</v>
      </c>
      <c r="AG2" s="5">
        <v>0</v>
      </c>
      <c r="AH2" s="5">
        <v>1</v>
      </c>
      <c r="AI2" s="5">
        <f>SUM(S2:AH2)</f>
        <v>1</v>
      </c>
      <c r="AJ2" s="5">
        <v>0</v>
      </c>
      <c r="AK2" s="5">
        <v>0</v>
      </c>
      <c r="AL2" s="5">
        <v>0</v>
      </c>
      <c r="AM2" s="5">
        <v>0</v>
      </c>
      <c r="AN2" s="5">
        <v>1</v>
      </c>
      <c r="AO2" s="5">
        <v>0</v>
      </c>
      <c r="AP2" s="5">
        <v>1</v>
      </c>
      <c r="AQ2" s="7">
        <v>0</v>
      </c>
      <c r="AR2" s="5">
        <v>1</v>
      </c>
      <c r="AS2" s="5">
        <v>0</v>
      </c>
      <c r="AT2" s="5">
        <v>0</v>
      </c>
      <c r="AU2" s="5">
        <v>0</v>
      </c>
      <c r="AV2" s="5">
        <f>SUM(AK2:AU2)</f>
        <v>3</v>
      </c>
      <c r="AW2" s="5">
        <v>0</v>
      </c>
      <c r="AX2" s="5">
        <v>0</v>
      </c>
      <c r="AY2" s="5">
        <v>1</v>
      </c>
      <c r="AZ2" s="5">
        <v>0</v>
      </c>
      <c r="BA2" s="5">
        <v>0</v>
      </c>
      <c r="BB2" s="5">
        <v>0</v>
      </c>
      <c r="BC2" s="5">
        <v>0</v>
      </c>
      <c r="BD2" s="5">
        <v>0</v>
      </c>
      <c r="BE2" s="5">
        <v>0</v>
      </c>
      <c r="BF2" s="5">
        <v>0</v>
      </c>
      <c r="BG2">
        <f>SUM(AW2:BF2)</f>
        <v>1</v>
      </c>
    </row>
    <row r="3" spans="1:59" ht="15.75" thickBot="1">
      <c r="A3" s="15" t="s">
        <v>63</v>
      </c>
      <c r="B3" s="5">
        <v>1</v>
      </c>
      <c r="C3" s="5">
        <v>0</v>
      </c>
      <c r="D3" s="5">
        <v>0</v>
      </c>
      <c r="E3" s="5">
        <v>0</v>
      </c>
      <c r="F3" s="5">
        <v>0</v>
      </c>
      <c r="G3" s="5">
        <v>0</v>
      </c>
      <c r="H3" s="5">
        <v>0</v>
      </c>
      <c r="I3" s="5">
        <v>0</v>
      </c>
      <c r="J3" s="5">
        <v>0</v>
      </c>
      <c r="K3" s="5">
        <v>0</v>
      </c>
      <c r="L3" s="5">
        <v>0</v>
      </c>
      <c r="M3" s="5">
        <v>0</v>
      </c>
      <c r="N3" s="5">
        <v>0</v>
      </c>
      <c r="O3" s="5">
        <v>0</v>
      </c>
      <c r="P3" s="5">
        <v>1</v>
      </c>
      <c r="Q3" s="5">
        <v>0</v>
      </c>
      <c r="R3" s="5">
        <f t="shared" si="0"/>
        <v>2</v>
      </c>
      <c r="S3" s="5">
        <v>1</v>
      </c>
      <c r="T3" s="5">
        <v>0</v>
      </c>
      <c r="U3" s="5">
        <v>0</v>
      </c>
      <c r="V3" s="5">
        <v>0</v>
      </c>
      <c r="W3" s="5">
        <v>0</v>
      </c>
      <c r="X3" s="5">
        <v>0</v>
      </c>
      <c r="Y3" s="5">
        <v>0</v>
      </c>
      <c r="Z3" s="5">
        <v>0</v>
      </c>
      <c r="AA3" s="5">
        <v>0</v>
      </c>
      <c r="AB3" s="5">
        <v>0</v>
      </c>
      <c r="AC3" s="5">
        <v>0</v>
      </c>
      <c r="AD3" s="5">
        <v>0</v>
      </c>
      <c r="AE3" s="5">
        <v>0</v>
      </c>
      <c r="AF3" s="5">
        <v>0</v>
      </c>
      <c r="AG3" s="5">
        <v>0</v>
      </c>
      <c r="AH3" s="5">
        <v>0</v>
      </c>
      <c r="AI3" s="5">
        <f t="shared" ref="AI3:AI31" si="1">SUM(S3:AH3)</f>
        <v>1</v>
      </c>
      <c r="AJ3" s="5">
        <v>0</v>
      </c>
      <c r="AK3" s="5">
        <v>0</v>
      </c>
      <c r="AL3" s="5">
        <v>0</v>
      </c>
      <c r="AM3" s="5">
        <v>0</v>
      </c>
      <c r="AN3" s="5">
        <v>1</v>
      </c>
      <c r="AO3" s="5">
        <v>0</v>
      </c>
      <c r="AP3" s="5">
        <v>1</v>
      </c>
      <c r="AQ3" s="5">
        <v>1</v>
      </c>
      <c r="AR3" s="5">
        <v>0</v>
      </c>
      <c r="AS3" s="5">
        <v>0</v>
      </c>
      <c r="AT3" s="5">
        <v>0</v>
      </c>
      <c r="AU3" s="5">
        <v>1</v>
      </c>
      <c r="AV3" s="5">
        <f t="shared" ref="AV3:AV31" si="2">SUM(AK3:AU3)</f>
        <v>4</v>
      </c>
      <c r="AW3" s="5">
        <v>0</v>
      </c>
      <c r="AX3" s="5">
        <v>0</v>
      </c>
      <c r="AY3" s="5">
        <v>0</v>
      </c>
      <c r="AZ3" s="5">
        <v>1</v>
      </c>
      <c r="BA3" s="5">
        <v>0</v>
      </c>
      <c r="BB3" s="5">
        <v>0</v>
      </c>
      <c r="BC3" s="5">
        <v>0</v>
      </c>
      <c r="BD3" s="5">
        <v>0</v>
      </c>
      <c r="BE3" s="5">
        <v>0</v>
      </c>
      <c r="BF3" s="5">
        <v>0</v>
      </c>
      <c r="BG3">
        <f t="shared" ref="BG3:BG31" si="3">SUM(AW3:BF3)</f>
        <v>1</v>
      </c>
    </row>
    <row r="4" spans="1:59" ht="15.75" thickBot="1">
      <c r="A4" s="15" t="s">
        <v>64</v>
      </c>
      <c r="B4" s="5">
        <v>0</v>
      </c>
      <c r="C4" s="5">
        <v>0</v>
      </c>
      <c r="D4" s="5">
        <v>0</v>
      </c>
      <c r="E4" s="5">
        <v>0</v>
      </c>
      <c r="F4" s="5">
        <v>0</v>
      </c>
      <c r="G4" s="5">
        <v>0</v>
      </c>
      <c r="H4" s="5">
        <v>0</v>
      </c>
      <c r="I4" s="5">
        <v>0</v>
      </c>
      <c r="J4" s="5">
        <v>0</v>
      </c>
      <c r="K4" s="5">
        <v>0</v>
      </c>
      <c r="L4" s="5">
        <v>0</v>
      </c>
      <c r="M4" s="5">
        <v>0</v>
      </c>
      <c r="N4" s="5">
        <v>0</v>
      </c>
      <c r="O4" s="5">
        <v>0</v>
      </c>
      <c r="P4" s="5">
        <v>0</v>
      </c>
      <c r="Q4" s="5">
        <v>0</v>
      </c>
      <c r="R4" s="5">
        <f t="shared" si="0"/>
        <v>0</v>
      </c>
      <c r="S4" s="5">
        <v>0</v>
      </c>
      <c r="T4" s="5">
        <v>0</v>
      </c>
      <c r="U4" s="5">
        <v>0</v>
      </c>
      <c r="V4" s="5">
        <v>0</v>
      </c>
      <c r="W4" s="5">
        <v>0</v>
      </c>
      <c r="X4" s="5">
        <v>0</v>
      </c>
      <c r="Y4" s="5">
        <v>0</v>
      </c>
      <c r="Z4" s="5">
        <v>0</v>
      </c>
      <c r="AA4" s="5">
        <v>1</v>
      </c>
      <c r="AB4" s="5">
        <v>0</v>
      </c>
      <c r="AC4" s="5">
        <v>0</v>
      </c>
      <c r="AD4" s="5">
        <v>0</v>
      </c>
      <c r="AE4" s="5">
        <v>0</v>
      </c>
      <c r="AF4" s="5">
        <v>0</v>
      </c>
      <c r="AG4" s="5">
        <v>0</v>
      </c>
      <c r="AH4" s="5">
        <v>1</v>
      </c>
      <c r="AI4" s="5">
        <f t="shared" si="1"/>
        <v>2</v>
      </c>
      <c r="AJ4" s="5">
        <v>0</v>
      </c>
      <c r="AK4" s="5">
        <v>0</v>
      </c>
      <c r="AL4" s="5">
        <v>0</v>
      </c>
      <c r="AM4" s="5">
        <v>0</v>
      </c>
      <c r="AN4" s="5">
        <v>0</v>
      </c>
      <c r="AO4" s="5">
        <v>0</v>
      </c>
      <c r="AP4" s="5">
        <v>0</v>
      </c>
      <c r="AQ4" s="5">
        <v>0</v>
      </c>
      <c r="AR4" s="5">
        <v>1</v>
      </c>
      <c r="AS4" s="5">
        <v>0</v>
      </c>
      <c r="AT4" s="5">
        <v>0</v>
      </c>
      <c r="AU4" s="5">
        <v>0</v>
      </c>
      <c r="AV4" s="5">
        <f t="shared" si="2"/>
        <v>1</v>
      </c>
      <c r="AW4" s="5">
        <v>0</v>
      </c>
      <c r="AX4" s="5">
        <v>0</v>
      </c>
      <c r="AY4" s="5">
        <v>0</v>
      </c>
      <c r="AZ4" s="5">
        <v>0</v>
      </c>
      <c r="BA4" s="5">
        <v>0</v>
      </c>
      <c r="BB4" s="5">
        <v>0</v>
      </c>
      <c r="BC4" s="5">
        <v>0</v>
      </c>
      <c r="BD4" s="5">
        <v>0</v>
      </c>
      <c r="BE4" s="5">
        <v>0</v>
      </c>
      <c r="BF4" s="5">
        <v>1</v>
      </c>
      <c r="BG4">
        <f t="shared" si="3"/>
        <v>1</v>
      </c>
    </row>
    <row r="5" spans="1:59" ht="15.75" thickBot="1">
      <c r="A5" s="15" t="s">
        <v>65</v>
      </c>
      <c r="B5" s="5">
        <v>0</v>
      </c>
      <c r="C5" s="5">
        <v>0</v>
      </c>
      <c r="D5" s="5">
        <v>0</v>
      </c>
      <c r="E5" s="5">
        <v>0</v>
      </c>
      <c r="F5" s="5">
        <v>1</v>
      </c>
      <c r="G5" s="5">
        <v>0</v>
      </c>
      <c r="H5" s="5">
        <v>0</v>
      </c>
      <c r="I5" s="5">
        <v>0</v>
      </c>
      <c r="J5" s="5">
        <v>0</v>
      </c>
      <c r="K5" s="5">
        <v>0</v>
      </c>
      <c r="L5" s="5">
        <v>0</v>
      </c>
      <c r="M5" s="5">
        <v>0</v>
      </c>
      <c r="N5" s="5">
        <v>0</v>
      </c>
      <c r="O5" s="5">
        <v>0</v>
      </c>
      <c r="P5" s="5">
        <v>0</v>
      </c>
      <c r="Q5" s="5">
        <v>0</v>
      </c>
      <c r="R5" s="5">
        <f t="shared" si="0"/>
        <v>1</v>
      </c>
      <c r="S5" s="5">
        <v>0</v>
      </c>
      <c r="T5" s="5">
        <v>0</v>
      </c>
      <c r="U5" s="5">
        <v>1</v>
      </c>
      <c r="V5" s="5">
        <v>0</v>
      </c>
      <c r="W5" s="5">
        <v>0</v>
      </c>
      <c r="X5" s="5">
        <v>1</v>
      </c>
      <c r="Y5" s="5">
        <v>0</v>
      </c>
      <c r="Z5" s="5">
        <v>0</v>
      </c>
      <c r="AA5" s="5">
        <v>0</v>
      </c>
      <c r="AB5" s="5">
        <v>0</v>
      </c>
      <c r="AC5" s="5">
        <v>1</v>
      </c>
      <c r="AD5" s="5">
        <v>0</v>
      </c>
      <c r="AE5" s="5">
        <v>0</v>
      </c>
      <c r="AF5" s="5">
        <v>0</v>
      </c>
      <c r="AG5" s="5">
        <v>0</v>
      </c>
      <c r="AH5" s="5">
        <v>0</v>
      </c>
      <c r="AI5" s="5">
        <f t="shared" si="1"/>
        <v>3</v>
      </c>
      <c r="AJ5" s="5">
        <v>1</v>
      </c>
      <c r="AK5" s="5">
        <v>0</v>
      </c>
      <c r="AL5" s="5">
        <v>0</v>
      </c>
      <c r="AM5" s="5">
        <v>0</v>
      </c>
      <c r="AN5" s="5">
        <v>1</v>
      </c>
      <c r="AO5" s="5">
        <v>0</v>
      </c>
      <c r="AP5" s="5">
        <v>0</v>
      </c>
      <c r="AQ5" s="5">
        <v>1</v>
      </c>
      <c r="AR5" s="5">
        <v>0</v>
      </c>
      <c r="AS5" s="5">
        <v>0</v>
      </c>
      <c r="AT5" s="5">
        <v>0</v>
      </c>
      <c r="AU5" s="5">
        <v>0</v>
      </c>
      <c r="AV5" s="5">
        <f t="shared" si="2"/>
        <v>2</v>
      </c>
      <c r="AW5" s="5">
        <v>0</v>
      </c>
      <c r="AX5" s="5">
        <v>0</v>
      </c>
      <c r="AY5" s="5">
        <v>0</v>
      </c>
      <c r="AZ5" s="5">
        <v>0</v>
      </c>
      <c r="BA5" s="5">
        <v>0</v>
      </c>
      <c r="BB5" s="5">
        <v>0</v>
      </c>
      <c r="BC5" s="5">
        <v>0</v>
      </c>
      <c r="BD5" s="5">
        <v>0</v>
      </c>
      <c r="BE5" s="5">
        <v>0</v>
      </c>
      <c r="BF5" s="5">
        <v>0</v>
      </c>
      <c r="BG5">
        <f t="shared" si="3"/>
        <v>0</v>
      </c>
    </row>
    <row r="6" spans="1:59" ht="15.75" thickBot="1">
      <c r="A6" s="15" t="s">
        <v>66</v>
      </c>
      <c r="B6" s="5">
        <v>1</v>
      </c>
      <c r="C6" s="5">
        <v>0</v>
      </c>
      <c r="D6" s="5">
        <v>0</v>
      </c>
      <c r="E6" s="5">
        <v>0</v>
      </c>
      <c r="F6" s="5">
        <v>0</v>
      </c>
      <c r="G6" s="5">
        <v>0</v>
      </c>
      <c r="H6" s="5">
        <v>0</v>
      </c>
      <c r="I6" s="5">
        <v>1</v>
      </c>
      <c r="J6" s="5">
        <v>0</v>
      </c>
      <c r="K6" s="5">
        <v>0</v>
      </c>
      <c r="L6" s="5">
        <v>0</v>
      </c>
      <c r="M6" s="5">
        <v>0</v>
      </c>
      <c r="N6" s="5">
        <v>0</v>
      </c>
      <c r="O6" s="5">
        <v>0</v>
      </c>
      <c r="P6" s="5">
        <v>0</v>
      </c>
      <c r="Q6" s="5">
        <v>1</v>
      </c>
      <c r="R6" s="5">
        <f t="shared" si="0"/>
        <v>3</v>
      </c>
      <c r="S6" s="5">
        <v>0</v>
      </c>
      <c r="T6" s="5">
        <v>0</v>
      </c>
      <c r="U6" s="5">
        <v>0</v>
      </c>
      <c r="V6" s="5">
        <v>1</v>
      </c>
      <c r="W6" s="5">
        <v>0</v>
      </c>
      <c r="X6" s="5">
        <v>0</v>
      </c>
      <c r="Y6" s="5">
        <v>0</v>
      </c>
      <c r="Z6" s="5">
        <v>1</v>
      </c>
      <c r="AA6" s="5">
        <v>0</v>
      </c>
      <c r="AB6" s="5">
        <v>0</v>
      </c>
      <c r="AC6" s="5">
        <v>0</v>
      </c>
      <c r="AD6" s="5">
        <v>0</v>
      </c>
      <c r="AE6" s="5">
        <v>1</v>
      </c>
      <c r="AF6" s="5">
        <v>1</v>
      </c>
      <c r="AG6" s="5">
        <v>0</v>
      </c>
      <c r="AH6" s="5">
        <v>0</v>
      </c>
      <c r="AI6" s="5">
        <f t="shared" si="1"/>
        <v>4</v>
      </c>
      <c r="AJ6" s="5">
        <v>0</v>
      </c>
      <c r="AK6" s="5">
        <v>0</v>
      </c>
      <c r="AL6" s="5">
        <v>0</v>
      </c>
      <c r="AM6" s="5">
        <v>0</v>
      </c>
      <c r="AN6" s="5">
        <v>1</v>
      </c>
      <c r="AO6" s="5">
        <v>0</v>
      </c>
      <c r="AP6" s="5">
        <v>1</v>
      </c>
      <c r="AQ6" s="5">
        <v>1</v>
      </c>
      <c r="AR6" s="5">
        <v>0</v>
      </c>
      <c r="AS6" s="5">
        <v>0</v>
      </c>
      <c r="AT6" s="5">
        <v>1</v>
      </c>
      <c r="AU6" s="5">
        <v>0</v>
      </c>
      <c r="AV6" s="5">
        <f t="shared" si="2"/>
        <v>4</v>
      </c>
      <c r="AW6" s="5">
        <v>0</v>
      </c>
      <c r="AX6" s="5">
        <v>0</v>
      </c>
      <c r="AY6" s="5">
        <v>0</v>
      </c>
      <c r="AZ6" s="5">
        <v>0</v>
      </c>
      <c r="BA6" s="5">
        <v>0</v>
      </c>
      <c r="BB6" s="5">
        <v>0</v>
      </c>
      <c r="BC6" s="5">
        <v>0</v>
      </c>
      <c r="BD6" s="5">
        <v>0</v>
      </c>
      <c r="BE6" s="5">
        <v>0</v>
      </c>
      <c r="BF6" s="5">
        <v>0</v>
      </c>
      <c r="BG6">
        <f t="shared" si="3"/>
        <v>0</v>
      </c>
    </row>
    <row r="7" spans="1:59" ht="15.75" thickBot="1">
      <c r="A7" s="15" t="s">
        <v>67</v>
      </c>
      <c r="B7" s="5">
        <v>0</v>
      </c>
      <c r="C7" s="5">
        <v>0</v>
      </c>
      <c r="D7" s="5">
        <v>1</v>
      </c>
      <c r="E7" s="5">
        <v>0</v>
      </c>
      <c r="F7" s="5">
        <v>0</v>
      </c>
      <c r="G7" s="5">
        <v>0</v>
      </c>
      <c r="H7" s="5">
        <v>0</v>
      </c>
      <c r="I7" s="5">
        <v>0</v>
      </c>
      <c r="J7" s="5">
        <v>0</v>
      </c>
      <c r="K7" s="5">
        <v>0</v>
      </c>
      <c r="L7" s="5">
        <v>1</v>
      </c>
      <c r="M7" s="5">
        <v>0</v>
      </c>
      <c r="N7" s="5">
        <v>0</v>
      </c>
      <c r="O7" s="5">
        <v>0</v>
      </c>
      <c r="P7" s="5">
        <v>0</v>
      </c>
      <c r="Q7" s="5">
        <v>0</v>
      </c>
      <c r="R7" s="5">
        <f t="shared" si="0"/>
        <v>2</v>
      </c>
      <c r="S7" s="5">
        <v>0</v>
      </c>
      <c r="T7" s="5">
        <v>0</v>
      </c>
      <c r="U7" s="5">
        <v>0</v>
      </c>
      <c r="V7" s="5">
        <v>0</v>
      </c>
      <c r="W7" s="5">
        <v>0</v>
      </c>
      <c r="X7" s="5">
        <v>0</v>
      </c>
      <c r="Y7" s="5">
        <v>0</v>
      </c>
      <c r="Z7" s="5">
        <v>0</v>
      </c>
      <c r="AA7" s="5">
        <v>0</v>
      </c>
      <c r="AB7" s="5">
        <v>0</v>
      </c>
      <c r="AC7" s="5">
        <v>0</v>
      </c>
      <c r="AD7" s="5">
        <v>0</v>
      </c>
      <c r="AE7" s="5">
        <v>0</v>
      </c>
      <c r="AF7" s="5">
        <v>0</v>
      </c>
      <c r="AG7" s="5">
        <v>0</v>
      </c>
      <c r="AH7" s="5">
        <v>0</v>
      </c>
      <c r="AI7" s="5">
        <f t="shared" si="1"/>
        <v>0</v>
      </c>
      <c r="AJ7" s="5">
        <v>0</v>
      </c>
      <c r="AK7" s="5">
        <v>0</v>
      </c>
      <c r="AL7" s="5">
        <v>0</v>
      </c>
      <c r="AM7" s="5">
        <v>1</v>
      </c>
      <c r="AN7" s="5">
        <v>0</v>
      </c>
      <c r="AO7" s="5">
        <v>0</v>
      </c>
      <c r="AP7" s="5">
        <v>0</v>
      </c>
      <c r="AQ7" s="5">
        <v>0</v>
      </c>
      <c r="AR7" s="5">
        <v>0</v>
      </c>
      <c r="AS7" s="5">
        <v>0</v>
      </c>
      <c r="AT7" s="5">
        <v>0</v>
      </c>
      <c r="AU7" s="5">
        <v>1</v>
      </c>
      <c r="AV7" s="5">
        <f t="shared" si="2"/>
        <v>2</v>
      </c>
      <c r="AW7" s="5">
        <v>0</v>
      </c>
      <c r="AX7" s="5">
        <v>0</v>
      </c>
      <c r="AY7" s="5">
        <v>0</v>
      </c>
      <c r="AZ7" s="5">
        <v>0</v>
      </c>
      <c r="BA7" s="5">
        <v>0</v>
      </c>
      <c r="BB7" s="5">
        <v>0</v>
      </c>
      <c r="BC7" s="5">
        <v>0</v>
      </c>
      <c r="BD7" s="5">
        <v>1</v>
      </c>
      <c r="BE7" s="5">
        <v>0</v>
      </c>
      <c r="BF7" s="5">
        <v>0</v>
      </c>
      <c r="BG7">
        <f t="shared" si="3"/>
        <v>1</v>
      </c>
    </row>
    <row r="8" spans="1:59" ht="15.75" thickBot="1">
      <c r="A8" s="15" t="s">
        <v>68</v>
      </c>
      <c r="B8" s="5">
        <v>1</v>
      </c>
      <c r="C8" s="5">
        <v>0</v>
      </c>
      <c r="D8" s="5">
        <v>0</v>
      </c>
      <c r="E8" s="5">
        <v>0</v>
      </c>
      <c r="F8" s="5">
        <v>0</v>
      </c>
      <c r="G8" s="5">
        <v>0</v>
      </c>
      <c r="H8" s="5">
        <v>0</v>
      </c>
      <c r="I8" s="5">
        <v>0</v>
      </c>
      <c r="J8" s="5">
        <v>0</v>
      </c>
      <c r="K8" s="5">
        <v>0</v>
      </c>
      <c r="L8" s="5">
        <v>0</v>
      </c>
      <c r="M8" s="5">
        <v>0</v>
      </c>
      <c r="N8" s="5">
        <v>0</v>
      </c>
      <c r="O8" s="5">
        <v>0</v>
      </c>
      <c r="P8" s="5">
        <v>0</v>
      </c>
      <c r="Q8" s="5">
        <v>0</v>
      </c>
      <c r="R8" s="5">
        <f t="shared" si="0"/>
        <v>1</v>
      </c>
      <c r="S8" s="5">
        <v>0</v>
      </c>
      <c r="T8" s="5">
        <v>0</v>
      </c>
      <c r="U8" s="5">
        <v>0</v>
      </c>
      <c r="V8" s="5">
        <v>0</v>
      </c>
      <c r="W8" s="5">
        <v>0</v>
      </c>
      <c r="X8" s="5">
        <v>0</v>
      </c>
      <c r="Y8" s="5">
        <v>0</v>
      </c>
      <c r="Z8" s="5">
        <v>0</v>
      </c>
      <c r="AA8" s="5">
        <v>0</v>
      </c>
      <c r="AB8" s="5">
        <v>0</v>
      </c>
      <c r="AC8" s="5">
        <v>0</v>
      </c>
      <c r="AD8" s="5">
        <v>0</v>
      </c>
      <c r="AE8" s="5">
        <v>0</v>
      </c>
      <c r="AF8" s="5">
        <v>0</v>
      </c>
      <c r="AG8" s="5">
        <v>0</v>
      </c>
      <c r="AH8" s="5">
        <v>0</v>
      </c>
      <c r="AI8" s="5">
        <f t="shared" si="1"/>
        <v>0</v>
      </c>
      <c r="AJ8" s="5">
        <v>0</v>
      </c>
      <c r="AK8" s="5">
        <v>0</v>
      </c>
      <c r="AL8" s="5">
        <v>0</v>
      </c>
      <c r="AM8" s="5">
        <v>0</v>
      </c>
      <c r="AN8" s="5">
        <v>0</v>
      </c>
      <c r="AO8" s="5">
        <v>0</v>
      </c>
      <c r="AP8" s="5">
        <v>0</v>
      </c>
      <c r="AQ8" s="5">
        <v>0</v>
      </c>
      <c r="AR8" s="5">
        <v>1</v>
      </c>
      <c r="AS8" s="5">
        <v>0</v>
      </c>
      <c r="AT8" s="5">
        <v>0</v>
      </c>
      <c r="AU8" s="5">
        <v>0</v>
      </c>
      <c r="AV8" s="5">
        <f t="shared" si="2"/>
        <v>1</v>
      </c>
      <c r="AW8" s="5">
        <v>0</v>
      </c>
      <c r="AX8" s="5">
        <v>0</v>
      </c>
      <c r="AY8" s="5">
        <v>0</v>
      </c>
      <c r="AZ8" s="5">
        <v>0</v>
      </c>
      <c r="BA8" s="5">
        <v>0</v>
      </c>
      <c r="BB8" s="5">
        <v>0</v>
      </c>
      <c r="BC8" s="5">
        <v>0</v>
      </c>
      <c r="BD8" s="5">
        <v>0</v>
      </c>
      <c r="BE8" s="5">
        <v>0</v>
      </c>
      <c r="BF8" s="5">
        <v>0</v>
      </c>
      <c r="BG8">
        <f t="shared" si="3"/>
        <v>0</v>
      </c>
    </row>
    <row r="9" spans="1:59" ht="15.75" thickBot="1">
      <c r="A9" s="15" t="s">
        <v>69</v>
      </c>
      <c r="B9" s="5">
        <v>1</v>
      </c>
      <c r="C9" s="5">
        <v>0</v>
      </c>
      <c r="D9" s="5">
        <v>0</v>
      </c>
      <c r="E9" s="5">
        <v>0</v>
      </c>
      <c r="F9" s="5">
        <v>0</v>
      </c>
      <c r="G9" s="5">
        <v>0</v>
      </c>
      <c r="H9" s="5">
        <v>0</v>
      </c>
      <c r="I9" s="5">
        <v>0</v>
      </c>
      <c r="J9" s="5">
        <v>0</v>
      </c>
      <c r="K9" s="5">
        <v>0</v>
      </c>
      <c r="L9" s="5">
        <v>0</v>
      </c>
      <c r="M9" s="5">
        <v>0</v>
      </c>
      <c r="N9" s="5">
        <v>0</v>
      </c>
      <c r="O9" s="5">
        <v>0</v>
      </c>
      <c r="P9" s="5">
        <v>0</v>
      </c>
      <c r="Q9" s="5">
        <v>0</v>
      </c>
      <c r="R9" s="5">
        <f t="shared" si="0"/>
        <v>1</v>
      </c>
      <c r="S9" s="5">
        <v>0</v>
      </c>
      <c r="T9" s="5">
        <v>0</v>
      </c>
      <c r="U9" s="5">
        <v>0</v>
      </c>
      <c r="V9" s="5">
        <v>0</v>
      </c>
      <c r="W9" s="5">
        <v>0</v>
      </c>
      <c r="X9" s="5">
        <v>0</v>
      </c>
      <c r="Y9" s="5">
        <v>0</v>
      </c>
      <c r="Z9" s="5">
        <v>0</v>
      </c>
      <c r="AA9" s="5">
        <v>0</v>
      </c>
      <c r="AB9" s="5">
        <v>0</v>
      </c>
      <c r="AC9" s="5">
        <v>0</v>
      </c>
      <c r="AD9" s="5">
        <v>0</v>
      </c>
      <c r="AE9" s="5">
        <v>0</v>
      </c>
      <c r="AF9" s="5">
        <v>0</v>
      </c>
      <c r="AG9" s="5">
        <v>0</v>
      </c>
      <c r="AH9" s="5">
        <v>0</v>
      </c>
      <c r="AI9" s="5">
        <f t="shared" si="1"/>
        <v>0</v>
      </c>
      <c r="AJ9" s="5">
        <v>0</v>
      </c>
      <c r="AK9" s="5">
        <v>0</v>
      </c>
      <c r="AL9" s="5">
        <v>0</v>
      </c>
      <c r="AM9" s="5">
        <v>0</v>
      </c>
      <c r="AN9" s="5">
        <v>0</v>
      </c>
      <c r="AO9" s="5">
        <v>0</v>
      </c>
      <c r="AP9" s="5">
        <v>0</v>
      </c>
      <c r="AQ9" s="5">
        <v>0</v>
      </c>
      <c r="AR9" s="5">
        <v>0</v>
      </c>
      <c r="AS9" s="5">
        <v>0</v>
      </c>
      <c r="AT9" s="5">
        <v>0</v>
      </c>
      <c r="AU9" s="5">
        <v>0</v>
      </c>
      <c r="AV9" s="5">
        <f t="shared" si="2"/>
        <v>0</v>
      </c>
      <c r="AW9" s="5">
        <v>0</v>
      </c>
      <c r="AX9" s="5">
        <v>0</v>
      </c>
      <c r="AY9" s="5">
        <v>0</v>
      </c>
      <c r="AZ9" s="5">
        <v>0</v>
      </c>
      <c r="BA9" s="5">
        <v>0</v>
      </c>
      <c r="BB9" s="5">
        <v>0</v>
      </c>
      <c r="BC9" s="5">
        <v>0</v>
      </c>
      <c r="BD9" s="5">
        <v>0</v>
      </c>
      <c r="BE9" s="5">
        <v>0</v>
      </c>
      <c r="BF9" s="5">
        <v>0</v>
      </c>
      <c r="BG9">
        <f t="shared" si="3"/>
        <v>0</v>
      </c>
    </row>
    <row r="10" spans="1:59" ht="15.75" thickBot="1">
      <c r="A10" s="15" t="s">
        <v>70</v>
      </c>
      <c r="B10" s="5">
        <v>1</v>
      </c>
      <c r="C10" s="5">
        <v>0</v>
      </c>
      <c r="D10" s="5">
        <v>0</v>
      </c>
      <c r="E10" s="5">
        <v>1</v>
      </c>
      <c r="F10" s="5">
        <v>0</v>
      </c>
      <c r="G10" s="5">
        <v>0</v>
      </c>
      <c r="H10" s="5">
        <v>0</v>
      </c>
      <c r="I10" s="5">
        <v>0</v>
      </c>
      <c r="J10" s="5">
        <v>0</v>
      </c>
      <c r="K10" s="5">
        <v>1</v>
      </c>
      <c r="L10" s="5">
        <v>0</v>
      </c>
      <c r="M10" s="5">
        <v>1</v>
      </c>
      <c r="N10" s="5">
        <v>0</v>
      </c>
      <c r="O10" s="5">
        <v>0</v>
      </c>
      <c r="P10" s="5">
        <v>0</v>
      </c>
      <c r="Q10" s="5">
        <v>0</v>
      </c>
      <c r="R10" s="5">
        <f t="shared" si="0"/>
        <v>4</v>
      </c>
      <c r="S10" s="5">
        <v>0</v>
      </c>
      <c r="T10" s="5">
        <v>0</v>
      </c>
      <c r="U10" s="5">
        <v>0</v>
      </c>
      <c r="V10" s="5">
        <v>0</v>
      </c>
      <c r="W10" s="5">
        <v>0</v>
      </c>
      <c r="X10" s="5">
        <v>0</v>
      </c>
      <c r="Y10" s="5">
        <v>0</v>
      </c>
      <c r="Z10" s="5">
        <v>0</v>
      </c>
      <c r="AA10" s="5">
        <v>0</v>
      </c>
      <c r="AB10" s="5">
        <v>0</v>
      </c>
      <c r="AC10" s="5">
        <v>0</v>
      </c>
      <c r="AD10" s="5">
        <v>0</v>
      </c>
      <c r="AE10" s="5">
        <v>0</v>
      </c>
      <c r="AF10" s="5">
        <v>0</v>
      </c>
      <c r="AG10" s="5">
        <v>0</v>
      </c>
      <c r="AH10" s="5">
        <v>0</v>
      </c>
      <c r="AI10" s="5">
        <f t="shared" si="1"/>
        <v>0</v>
      </c>
      <c r="AJ10" s="5">
        <v>0</v>
      </c>
      <c r="AK10" s="5">
        <v>0</v>
      </c>
      <c r="AL10" s="5">
        <v>0</v>
      </c>
      <c r="AM10" s="5">
        <v>0</v>
      </c>
      <c r="AN10" s="5">
        <v>0</v>
      </c>
      <c r="AO10" s="5">
        <v>0</v>
      </c>
      <c r="AP10" s="5">
        <v>1</v>
      </c>
      <c r="AQ10" s="5">
        <v>0</v>
      </c>
      <c r="AR10" s="5">
        <v>0</v>
      </c>
      <c r="AS10" s="5">
        <v>0</v>
      </c>
      <c r="AT10" s="5">
        <v>0</v>
      </c>
      <c r="AU10" s="5">
        <v>0</v>
      </c>
      <c r="AV10" s="5">
        <f t="shared" si="2"/>
        <v>1</v>
      </c>
      <c r="AW10" s="5">
        <v>0</v>
      </c>
      <c r="AX10" s="5">
        <v>0</v>
      </c>
      <c r="AY10" s="5">
        <v>0</v>
      </c>
      <c r="AZ10" s="5">
        <v>0</v>
      </c>
      <c r="BA10" s="5">
        <v>0</v>
      </c>
      <c r="BB10" s="5">
        <v>1</v>
      </c>
      <c r="BC10" s="5">
        <v>0</v>
      </c>
      <c r="BD10" s="5">
        <v>0</v>
      </c>
      <c r="BE10" s="5">
        <v>0</v>
      </c>
      <c r="BF10" s="5">
        <v>1</v>
      </c>
      <c r="BG10">
        <f t="shared" si="3"/>
        <v>2</v>
      </c>
    </row>
    <row r="11" spans="1:59" ht="15.75" thickBot="1">
      <c r="A11" s="15" t="s">
        <v>71</v>
      </c>
      <c r="B11" s="5">
        <v>0</v>
      </c>
      <c r="C11" s="5">
        <v>1</v>
      </c>
      <c r="D11" s="5">
        <v>0</v>
      </c>
      <c r="E11" s="5">
        <v>0</v>
      </c>
      <c r="F11" s="5">
        <v>0</v>
      </c>
      <c r="G11" s="5">
        <v>0</v>
      </c>
      <c r="H11" s="5">
        <v>1</v>
      </c>
      <c r="I11" s="5">
        <v>1</v>
      </c>
      <c r="J11" s="5">
        <v>0</v>
      </c>
      <c r="K11" s="5">
        <v>1</v>
      </c>
      <c r="L11" s="5">
        <v>1</v>
      </c>
      <c r="M11" s="5">
        <v>0</v>
      </c>
      <c r="N11" s="5">
        <v>1</v>
      </c>
      <c r="O11" s="5">
        <v>0</v>
      </c>
      <c r="P11" s="5">
        <v>0</v>
      </c>
      <c r="Q11" s="5">
        <v>0</v>
      </c>
      <c r="R11" s="5">
        <f t="shared" si="0"/>
        <v>6</v>
      </c>
      <c r="S11" s="5">
        <v>0</v>
      </c>
      <c r="T11" s="5">
        <v>0</v>
      </c>
      <c r="U11" s="5">
        <v>0</v>
      </c>
      <c r="V11" s="5">
        <v>0</v>
      </c>
      <c r="W11" s="5">
        <v>0</v>
      </c>
      <c r="X11" s="5">
        <v>0</v>
      </c>
      <c r="Y11" s="5">
        <v>0</v>
      </c>
      <c r="Z11" s="5">
        <v>0</v>
      </c>
      <c r="AA11" s="5">
        <v>0</v>
      </c>
      <c r="AB11" s="5">
        <v>0</v>
      </c>
      <c r="AC11" s="5">
        <v>0</v>
      </c>
      <c r="AD11" s="5">
        <v>1</v>
      </c>
      <c r="AE11" s="5">
        <v>0</v>
      </c>
      <c r="AF11" s="5">
        <v>0</v>
      </c>
      <c r="AG11" s="5">
        <v>0</v>
      </c>
      <c r="AH11" s="5">
        <v>0</v>
      </c>
      <c r="AI11" s="5">
        <f t="shared" si="1"/>
        <v>1</v>
      </c>
      <c r="AJ11" s="5">
        <v>0</v>
      </c>
      <c r="AK11" s="5">
        <v>0</v>
      </c>
      <c r="AL11" s="5">
        <v>0</v>
      </c>
      <c r="AM11" s="5">
        <v>0</v>
      </c>
      <c r="AN11" s="5">
        <v>1</v>
      </c>
      <c r="AO11" s="5">
        <v>1</v>
      </c>
      <c r="AP11" s="5">
        <v>1</v>
      </c>
      <c r="AQ11" s="5">
        <v>0</v>
      </c>
      <c r="AR11" s="5">
        <v>1</v>
      </c>
      <c r="AS11" s="5">
        <v>0</v>
      </c>
      <c r="AT11" s="5">
        <v>0</v>
      </c>
      <c r="AU11" s="5">
        <v>0</v>
      </c>
      <c r="AV11" s="5">
        <f t="shared" si="2"/>
        <v>4</v>
      </c>
      <c r="AW11" s="5">
        <v>0</v>
      </c>
      <c r="AX11" s="5">
        <v>0</v>
      </c>
      <c r="AY11" s="5">
        <v>1</v>
      </c>
      <c r="AZ11" s="5">
        <v>0</v>
      </c>
      <c r="BA11" s="5">
        <v>0</v>
      </c>
      <c r="BB11" s="5">
        <v>0</v>
      </c>
      <c r="BC11" s="5">
        <v>0</v>
      </c>
      <c r="BD11" s="5">
        <v>0</v>
      </c>
      <c r="BE11" s="5">
        <v>0</v>
      </c>
      <c r="BF11" s="5">
        <v>0</v>
      </c>
      <c r="BG11">
        <f t="shared" si="3"/>
        <v>1</v>
      </c>
    </row>
    <row r="12" spans="1:59" ht="15.75" thickBot="1">
      <c r="A12" s="15" t="s">
        <v>62</v>
      </c>
      <c r="B12" s="5">
        <v>1</v>
      </c>
      <c r="C12" s="5">
        <v>0</v>
      </c>
      <c r="D12" s="5">
        <v>0</v>
      </c>
      <c r="E12" s="5">
        <v>0</v>
      </c>
      <c r="F12" s="5">
        <v>0</v>
      </c>
      <c r="G12" s="5">
        <v>0</v>
      </c>
      <c r="H12" s="5">
        <v>0</v>
      </c>
      <c r="I12" s="5">
        <v>1</v>
      </c>
      <c r="J12" s="5">
        <v>0</v>
      </c>
      <c r="K12" s="5">
        <v>1</v>
      </c>
      <c r="L12" s="5">
        <v>0</v>
      </c>
      <c r="M12" s="5">
        <v>0</v>
      </c>
      <c r="N12" s="5">
        <v>0</v>
      </c>
      <c r="O12" s="5">
        <v>0</v>
      </c>
      <c r="P12" s="5">
        <v>0</v>
      </c>
      <c r="Q12" s="5">
        <v>0</v>
      </c>
      <c r="R12" s="5">
        <f t="shared" si="0"/>
        <v>3</v>
      </c>
      <c r="S12" s="5">
        <v>0</v>
      </c>
      <c r="T12" s="5">
        <v>0</v>
      </c>
      <c r="U12" s="5">
        <v>1</v>
      </c>
      <c r="V12" s="5">
        <v>0</v>
      </c>
      <c r="W12" s="5">
        <v>0</v>
      </c>
      <c r="X12" s="5">
        <v>0</v>
      </c>
      <c r="Y12" s="5">
        <v>1</v>
      </c>
      <c r="Z12" s="5">
        <v>0</v>
      </c>
      <c r="AA12" s="5">
        <v>0</v>
      </c>
      <c r="AB12" s="5">
        <v>1</v>
      </c>
      <c r="AC12" s="5">
        <v>1</v>
      </c>
      <c r="AD12" s="5">
        <v>0</v>
      </c>
      <c r="AE12" s="5">
        <v>0</v>
      </c>
      <c r="AF12" s="5">
        <v>0</v>
      </c>
      <c r="AG12" s="5">
        <v>0</v>
      </c>
      <c r="AH12" s="5">
        <v>0</v>
      </c>
      <c r="AI12" s="5">
        <f t="shared" si="1"/>
        <v>4</v>
      </c>
      <c r="AJ12" s="5">
        <v>0</v>
      </c>
      <c r="AK12" s="5">
        <v>1</v>
      </c>
      <c r="AL12" s="5">
        <v>0</v>
      </c>
      <c r="AM12" s="5">
        <v>0</v>
      </c>
      <c r="AN12" s="5">
        <v>1</v>
      </c>
      <c r="AO12" s="5">
        <v>0</v>
      </c>
      <c r="AP12" s="5">
        <v>0</v>
      </c>
      <c r="AQ12" s="5">
        <v>0</v>
      </c>
      <c r="AR12" s="5">
        <v>0</v>
      </c>
      <c r="AS12" s="5">
        <v>1</v>
      </c>
      <c r="AT12" s="5">
        <v>0</v>
      </c>
      <c r="AU12" s="5">
        <v>0</v>
      </c>
      <c r="AV12" s="5">
        <f t="shared" si="2"/>
        <v>3</v>
      </c>
      <c r="AW12" s="5">
        <v>0</v>
      </c>
      <c r="AX12" s="5">
        <v>0</v>
      </c>
      <c r="AY12" s="5">
        <v>0</v>
      </c>
      <c r="AZ12" s="5">
        <v>1</v>
      </c>
      <c r="BA12" s="5">
        <v>0</v>
      </c>
      <c r="BB12" s="5">
        <v>0</v>
      </c>
      <c r="BC12" s="5">
        <v>0</v>
      </c>
      <c r="BD12" s="5">
        <v>0</v>
      </c>
      <c r="BE12" s="5">
        <v>1</v>
      </c>
      <c r="BF12" s="5">
        <v>0</v>
      </c>
      <c r="BG12">
        <f t="shared" si="3"/>
        <v>2</v>
      </c>
    </row>
    <row r="13" spans="1:59" ht="15.75" thickBot="1">
      <c r="A13" s="15" t="s">
        <v>63</v>
      </c>
      <c r="B13" s="5">
        <v>1</v>
      </c>
      <c r="C13" s="5">
        <v>0</v>
      </c>
      <c r="D13" s="5">
        <v>0</v>
      </c>
      <c r="E13" s="5">
        <v>0</v>
      </c>
      <c r="F13" s="5">
        <v>0</v>
      </c>
      <c r="G13" s="5">
        <v>0</v>
      </c>
      <c r="H13" s="5">
        <v>0</v>
      </c>
      <c r="I13" s="5">
        <v>1</v>
      </c>
      <c r="J13" s="5">
        <v>1</v>
      </c>
      <c r="K13" s="5">
        <v>0</v>
      </c>
      <c r="L13" s="5">
        <v>1</v>
      </c>
      <c r="M13" s="5">
        <v>0</v>
      </c>
      <c r="N13" s="5">
        <v>0</v>
      </c>
      <c r="O13" s="5">
        <v>0</v>
      </c>
      <c r="P13" s="5">
        <v>1</v>
      </c>
      <c r="Q13" s="5">
        <v>0</v>
      </c>
      <c r="R13" s="5">
        <f t="shared" si="0"/>
        <v>5</v>
      </c>
      <c r="S13" s="5">
        <v>1</v>
      </c>
      <c r="T13" s="5">
        <v>1</v>
      </c>
      <c r="U13" s="5">
        <v>1</v>
      </c>
      <c r="V13" s="5">
        <v>0</v>
      </c>
      <c r="W13" s="5">
        <v>0</v>
      </c>
      <c r="X13" s="5">
        <v>0</v>
      </c>
      <c r="Y13" s="5">
        <v>0</v>
      </c>
      <c r="Z13" s="5">
        <v>0</v>
      </c>
      <c r="AA13" s="5">
        <v>0</v>
      </c>
      <c r="AB13" s="5">
        <v>0</v>
      </c>
      <c r="AC13" s="5">
        <v>0</v>
      </c>
      <c r="AD13" s="5">
        <v>0</v>
      </c>
      <c r="AE13" s="5">
        <v>0</v>
      </c>
      <c r="AF13" s="5">
        <v>0</v>
      </c>
      <c r="AG13" s="5">
        <v>0</v>
      </c>
      <c r="AH13" s="5">
        <v>0</v>
      </c>
      <c r="AI13" s="5">
        <f t="shared" si="1"/>
        <v>3</v>
      </c>
      <c r="AJ13" s="5">
        <v>0</v>
      </c>
      <c r="AK13" s="5">
        <v>0</v>
      </c>
      <c r="AL13" s="5">
        <v>0</v>
      </c>
      <c r="AM13" s="5">
        <v>0</v>
      </c>
      <c r="AN13" s="5">
        <v>0</v>
      </c>
      <c r="AO13" s="5">
        <v>0</v>
      </c>
      <c r="AP13" s="5">
        <v>0</v>
      </c>
      <c r="AQ13" s="5">
        <v>0</v>
      </c>
      <c r="AR13" s="5">
        <v>0</v>
      </c>
      <c r="AS13" s="5">
        <v>1</v>
      </c>
      <c r="AT13" s="5">
        <v>0</v>
      </c>
      <c r="AU13" s="5">
        <v>0</v>
      </c>
      <c r="AV13" s="5">
        <f t="shared" si="2"/>
        <v>1</v>
      </c>
      <c r="AW13" s="5">
        <v>0</v>
      </c>
      <c r="AX13" s="5">
        <v>0</v>
      </c>
      <c r="AY13" s="5">
        <v>0</v>
      </c>
      <c r="AZ13" s="5">
        <v>0</v>
      </c>
      <c r="BA13" s="5">
        <v>0</v>
      </c>
      <c r="BB13" s="5">
        <v>0</v>
      </c>
      <c r="BC13" s="5">
        <v>0</v>
      </c>
      <c r="BD13" s="5">
        <v>0</v>
      </c>
      <c r="BE13" s="5">
        <v>0</v>
      </c>
      <c r="BF13" s="5">
        <v>1</v>
      </c>
      <c r="BG13">
        <f t="shared" si="3"/>
        <v>1</v>
      </c>
    </row>
    <row r="14" spans="1:59" ht="15.75" thickBot="1">
      <c r="A14" s="15" t="s">
        <v>64</v>
      </c>
      <c r="B14" s="5">
        <v>1</v>
      </c>
      <c r="C14" s="5">
        <v>0</v>
      </c>
      <c r="D14" s="5">
        <v>0</v>
      </c>
      <c r="E14" s="5">
        <v>0</v>
      </c>
      <c r="F14" s="5">
        <v>0</v>
      </c>
      <c r="G14" s="5">
        <v>0</v>
      </c>
      <c r="H14" s="5">
        <v>0</v>
      </c>
      <c r="I14" s="5">
        <v>0</v>
      </c>
      <c r="J14" s="5">
        <v>0</v>
      </c>
      <c r="K14" s="5">
        <v>0</v>
      </c>
      <c r="L14" s="5">
        <v>0</v>
      </c>
      <c r="M14" s="5">
        <v>0</v>
      </c>
      <c r="N14" s="5">
        <v>0</v>
      </c>
      <c r="O14" s="5">
        <v>0</v>
      </c>
      <c r="P14" s="5">
        <v>0</v>
      </c>
      <c r="Q14" s="5">
        <v>0</v>
      </c>
      <c r="R14" s="5">
        <f t="shared" si="0"/>
        <v>1</v>
      </c>
      <c r="S14" s="5">
        <v>1</v>
      </c>
      <c r="T14" s="5">
        <v>1</v>
      </c>
      <c r="U14" s="5">
        <v>0</v>
      </c>
      <c r="V14" s="5">
        <v>0</v>
      </c>
      <c r="W14" s="5">
        <v>0</v>
      </c>
      <c r="X14" s="5">
        <v>0</v>
      </c>
      <c r="Y14" s="5">
        <v>0</v>
      </c>
      <c r="Z14" s="5">
        <v>0</v>
      </c>
      <c r="AA14" s="5">
        <v>0</v>
      </c>
      <c r="AB14" s="5">
        <v>0</v>
      </c>
      <c r="AC14" s="5">
        <v>0</v>
      </c>
      <c r="AD14" s="5">
        <v>0</v>
      </c>
      <c r="AE14" s="5">
        <v>0</v>
      </c>
      <c r="AF14" s="5">
        <v>0</v>
      </c>
      <c r="AG14" s="5">
        <v>0</v>
      </c>
      <c r="AH14" s="5">
        <v>0</v>
      </c>
      <c r="AI14" s="5">
        <f t="shared" si="1"/>
        <v>2</v>
      </c>
      <c r="AJ14" s="5">
        <v>0</v>
      </c>
      <c r="AK14" s="5">
        <v>0</v>
      </c>
      <c r="AL14" s="5">
        <v>0</v>
      </c>
      <c r="AM14" s="5">
        <v>1</v>
      </c>
      <c r="AN14" s="5">
        <v>1</v>
      </c>
      <c r="AO14" s="5">
        <v>0</v>
      </c>
      <c r="AP14" s="5">
        <v>0</v>
      </c>
      <c r="AQ14" s="5">
        <v>0</v>
      </c>
      <c r="AR14" s="5">
        <v>0</v>
      </c>
      <c r="AS14" s="5">
        <v>0</v>
      </c>
      <c r="AT14" s="5">
        <v>0</v>
      </c>
      <c r="AU14" s="5">
        <v>0</v>
      </c>
      <c r="AV14" s="5">
        <f t="shared" si="2"/>
        <v>2</v>
      </c>
      <c r="AW14" s="5">
        <v>0</v>
      </c>
      <c r="AX14" s="5">
        <v>0</v>
      </c>
      <c r="AY14" s="5">
        <v>0</v>
      </c>
      <c r="AZ14" s="5">
        <v>0</v>
      </c>
      <c r="BA14" s="5">
        <v>0</v>
      </c>
      <c r="BB14" s="5">
        <v>0</v>
      </c>
      <c r="BC14" s="5">
        <v>0</v>
      </c>
      <c r="BD14" s="5">
        <v>1</v>
      </c>
      <c r="BE14" s="5">
        <v>0</v>
      </c>
      <c r="BF14" s="5">
        <v>1</v>
      </c>
      <c r="BG14">
        <f t="shared" si="3"/>
        <v>2</v>
      </c>
    </row>
    <row r="15" spans="1:59" ht="15.75" thickBot="1">
      <c r="A15" s="15" t="s">
        <v>65</v>
      </c>
      <c r="B15" s="5">
        <v>0</v>
      </c>
      <c r="C15" s="5">
        <v>0</v>
      </c>
      <c r="D15" s="5">
        <v>0</v>
      </c>
      <c r="E15" s="5">
        <v>0</v>
      </c>
      <c r="F15" s="5">
        <v>0</v>
      </c>
      <c r="G15" s="5">
        <v>1</v>
      </c>
      <c r="H15" s="5">
        <v>0</v>
      </c>
      <c r="I15" s="5">
        <v>1</v>
      </c>
      <c r="J15" s="5">
        <v>0</v>
      </c>
      <c r="K15" s="5">
        <v>1</v>
      </c>
      <c r="L15" s="5">
        <v>1</v>
      </c>
      <c r="M15" s="5">
        <v>1</v>
      </c>
      <c r="N15" s="5">
        <v>0</v>
      </c>
      <c r="O15" s="5">
        <v>0</v>
      </c>
      <c r="P15" s="5">
        <v>0</v>
      </c>
      <c r="Q15" s="5">
        <v>0</v>
      </c>
      <c r="R15" s="5">
        <f t="shared" si="0"/>
        <v>5</v>
      </c>
      <c r="S15" s="5">
        <v>0</v>
      </c>
      <c r="T15" s="5">
        <v>0</v>
      </c>
      <c r="U15" s="5">
        <v>0</v>
      </c>
      <c r="V15" s="5">
        <v>0</v>
      </c>
      <c r="W15" s="5">
        <v>0</v>
      </c>
      <c r="X15" s="5">
        <v>0</v>
      </c>
      <c r="Y15" s="5">
        <v>0</v>
      </c>
      <c r="Z15" s="5">
        <v>0</v>
      </c>
      <c r="AA15" s="5">
        <v>0</v>
      </c>
      <c r="AB15" s="5">
        <v>0</v>
      </c>
      <c r="AC15" s="5">
        <v>0</v>
      </c>
      <c r="AD15" s="5">
        <v>0</v>
      </c>
      <c r="AE15" s="5">
        <v>1</v>
      </c>
      <c r="AF15" s="5">
        <v>0</v>
      </c>
      <c r="AG15" s="5">
        <v>0</v>
      </c>
      <c r="AH15" s="5">
        <v>0</v>
      </c>
      <c r="AI15" s="5">
        <f t="shared" si="1"/>
        <v>1</v>
      </c>
      <c r="AJ15" s="5">
        <v>0</v>
      </c>
      <c r="AK15" s="5">
        <v>0</v>
      </c>
      <c r="AL15" s="5">
        <v>1</v>
      </c>
      <c r="AM15" s="5">
        <v>0</v>
      </c>
      <c r="AN15" s="5">
        <v>1</v>
      </c>
      <c r="AO15" s="5">
        <v>0</v>
      </c>
      <c r="AP15" s="5">
        <v>0</v>
      </c>
      <c r="AQ15" s="5">
        <v>0</v>
      </c>
      <c r="AR15" s="5">
        <v>0</v>
      </c>
      <c r="AS15" s="5">
        <v>0</v>
      </c>
      <c r="AT15" s="5">
        <v>0</v>
      </c>
      <c r="AU15" s="5">
        <v>0</v>
      </c>
      <c r="AV15" s="5">
        <f t="shared" si="2"/>
        <v>2</v>
      </c>
      <c r="AW15" s="5">
        <v>1</v>
      </c>
      <c r="AX15" s="5">
        <v>0</v>
      </c>
      <c r="AY15" s="5">
        <v>0</v>
      </c>
      <c r="AZ15" s="5">
        <v>0</v>
      </c>
      <c r="BA15" s="5">
        <v>0</v>
      </c>
      <c r="BB15" s="5">
        <v>0</v>
      </c>
      <c r="BC15" s="5">
        <v>0</v>
      </c>
      <c r="BD15" s="5">
        <v>0</v>
      </c>
      <c r="BE15" s="5">
        <v>0</v>
      </c>
      <c r="BF15" s="5">
        <v>0</v>
      </c>
      <c r="BG15">
        <f t="shared" si="3"/>
        <v>1</v>
      </c>
    </row>
    <row r="16" spans="1:59" ht="15.75" thickBot="1">
      <c r="A16" s="15" t="s">
        <v>66</v>
      </c>
      <c r="B16" s="5">
        <v>1</v>
      </c>
      <c r="C16" s="5">
        <v>0</v>
      </c>
      <c r="D16" s="5">
        <v>1</v>
      </c>
      <c r="E16" s="5">
        <v>0</v>
      </c>
      <c r="F16" s="5">
        <v>0</v>
      </c>
      <c r="G16" s="5">
        <v>0</v>
      </c>
      <c r="H16" s="5">
        <v>0</v>
      </c>
      <c r="I16" s="5">
        <v>0</v>
      </c>
      <c r="J16" s="5">
        <v>0</v>
      </c>
      <c r="K16" s="5">
        <v>0</v>
      </c>
      <c r="L16" s="5">
        <v>1</v>
      </c>
      <c r="M16" s="5">
        <v>0</v>
      </c>
      <c r="N16" s="5">
        <v>0</v>
      </c>
      <c r="O16" s="5">
        <v>0</v>
      </c>
      <c r="P16" s="5">
        <v>0</v>
      </c>
      <c r="Q16" s="5">
        <v>0</v>
      </c>
      <c r="R16" s="5">
        <f t="shared" si="0"/>
        <v>3</v>
      </c>
      <c r="S16" s="5">
        <v>1</v>
      </c>
      <c r="T16" s="5">
        <v>1</v>
      </c>
      <c r="U16" s="5">
        <v>0</v>
      </c>
      <c r="V16" s="5">
        <v>0</v>
      </c>
      <c r="W16" s="5">
        <v>0</v>
      </c>
      <c r="X16" s="5">
        <v>0</v>
      </c>
      <c r="Y16" s="5">
        <v>0</v>
      </c>
      <c r="Z16" s="5">
        <v>1</v>
      </c>
      <c r="AA16" s="5">
        <v>0</v>
      </c>
      <c r="AB16" s="5">
        <v>0</v>
      </c>
      <c r="AC16" s="5">
        <v>0</v>
      </c>
      <c r="AD16" s="5">
        <v>0</v>
      </c>
      <c r="AE16" s="5">
        <v>0</v>
      </c>
      <c r="AF16" s="5">
        <v>0</v>
      </c>
      <c r="AG16" s="5">
        <v>0</v>
      </c>
      <c r="AH16" s="5">
        <v>0</v>
      </c>
      <c r="AI16" s="5">
        <f t="shared" si="1"/>
        <v>3</v>
      </c>
      <c r="AJ16" s="5">
        <v>1</v>
      </c>
      <c r="AK16" s="5">
        <v>0</v>
      </c>
      <c r="AL16" s="5">
        <v>0</v>
      </c>
      <c r="AM16" s="5">
        <v>0</v>
      </c>
      <c r="AN16" s="5">
        <v>1</v>
      </c>
      <c r="AO16" s="5">
        <v>0</v>
      </c>
      <c r="AP16" s="5">
        <v>0</v>
      </c>
      <c r="AQ16" s="5">
        <v>0</v>
      </c>
      <c r="AR16" s="5">
        <v>0</v>
      </c>
      <c r="AS16" s="5">
        <v>0</v>
      </c>
      <c r="AT16" s="5">
        <v>0</v>
      </c>
      <c r="AU16" s="5">
        <v>0</v>
      </c>
      <c r="AV16" s="5">
        <f t="shared" si="2"/>
        <v>1</v>
      </c>
      <c r="AW16" s="5">
        <v>0</v>
      </c>
      <c r="AX16" s="5">
        <v>0</v>
      </c>
      <c r="AY16" s="5">
        <v>0</v>
      </c>
      <c r="AZ16" s="5">
        <v>0</v>
      </c>
      <c r="BA16" s="5">
        <v>0</v>
      </c>
      <c r="BB16" s="5">
        <v>0</v>
      </c>
      <c r="BC16" s="5">
        <v>0</v>
      </c>
      <c r="BD16" s="5">
        <v>0</v>
      </c>
      <c r="BE16" s="5">
        <v>1</v>
      </c>
      <c r="BF16" s="5">
        <v>1</v>
      </c>
      <c r="BG16">
        <f t="shared" si="3"/>
        <v>2</v>
      </c>
    </row>
    <row r="17" spans="1:59" ht="15.75" thickBot="1">
      <c r="A17" s="15" t="s">
        <v>67</v>
      </c>
      <c r="B17" s="5">
        <v>0</v>
      </c>
      <c r="C17" s="5">
        <v>0</v>
      </c>
      <c r="D17" s="5">
        <v>1</v>
      </c>
      <c r="E17" s="5">
        <v>0</v>
      </c>
      <c r="F17" s="5">
        <v>0</v>
      </c>
      <c r="G17" s="5">
        <v>1</v>
      </c>
      <c r="H17" s="5">
        <v>0</v>
      </c>
      <c r="I17" s="5">
        <v>0</v>
      </c>
      <c r="J17" s="5">
        <v>1</v>
      </c>
      <c r="K17" s="5">
        <v>0</v>
      </c>
      <c r="L17" s="5">
        <v>1</v>
      </c>
      <c r="M17" s="5">
        <v>0</v>
      </c>
      <c r="N17" s="5">
        <v>0</v>
      </c>
      <c r="O17" s="5">
        <v>0</v>
      </c>
      <c r="P17" s="5">
        <v>0</v>
      </c>
      <c r="Q17" s="5">
        <v>0</v>
      </c>
      <c r="R17" s="5">
        <f t="shared" si="0"/>
        <v>4</v>
      </c>
      <c r="S17" s="5">
        <v>0</v>
      </c>
      <c r="T17" s="5">
        <v>1</v>
      </c>
      <c r="U17" s="5">
        <v>0</v>
      </c>
      <c r="V17" s="5">
        <v>0</v>
      </c>
      <c r="W17" s="5">
        <v>0</v>
      </c>
      <c r="X17" s="5">
        <v>0</v>
      </c>
      <c r="Y17" s="5">
        <v>0</v>
      </c>
      <c r="Z17" s="5">
        <v>0</v>
      </c>
      <c r="AA17" s="5">
        <v>0</v>
      </c>
      <c r="AB17" s="5">
        <v>0</v>
      </c>
      <c r="AC17" s="5">
        <v>0</v>
      </c>
      <c r="AD17" s="5">
        <v>0</v>
      </c>
      <c r="AE17" s="5">
        <v>0</v>
      </c>
      <c r="AF17" s="5">
        <v>1</v>
      </c>
      <c r="AG17" s="5">
        <v>1</v>
      </c>
      <c r="AH17" s="5">
        <v>0</v>
      </c>
      <c r="AI17" s="5">
        <f t="shared" si="1"/>
        <v>3</v>
      </c>
      <c r="AJ17" s="5">
        <v>0</v>
      </c>
      <c r="AK17" s="5">
        <v>0</v>
      </c>
      <c r="AL17" s="5">
        <v>1</v>
      </c>
      <c r="AM17" s="5">
        <v>1</v>
      </c>
      <c r="AN17" s="5">
        <v>1</v>
      </c>
      <c r="AO17" s="5">
        <v>0</v>
      </c>
      <c r="AP17" s="5">
        <v>1</v>
      </c>
      <c r="AQ17" s="5">
        <v>0</v>
      </c>
      <c r="AR17" s="5">
        <v>0</v>
      </c>
      <c r="AS17" s="5">
        <v>0</v>
      </c>
      <c r="AT17" s="5">
        <v>0</v>
      </c>
      <c r="AU17" s="5">
        <v>1</v>
      </c>
      <c r="AV17" s="5">
        <f t="shared" si="2"/>
        <v>5</v>
      </c>
      <c r="AW17" s="5">
        <v>0</v>
      </c>
      <c r="AX17" s="5">
        <v>0</v>
      </c>
      <c r="AY17" s="5">
        <v>0</v>
      </c>
      <c r="AZ17" s="5">
        <v>0</v>
      </c>
      <c r="BA17" s="5">
        <v>0</v>
      </c>
      <c r="BB17" s="5">
        <v>0</v>
      </c>
      <c r="BC17" s="5">
        <v>0</v>
      </c>
      <c r="BD17" s="5">
        <v>0</v>
      </c>
      <c r="BE17" s="5">
        <v>0</v>
      </c>
      <c r="BF17" s="5">
        <v>0</v>
      </c>
      <c r="BG17">
        <f t="shared" si="3"/>
        <v>0</v>
      </c>
    </row>
    <row r="18" spans="1:59" ht="15.75" thickBot="1">
      <c r="A18" s="15" t="s">
        <v>68</v>
      </c>
      <c r="B18" s="5">
        <v>1</v>
      </c>
      <c r="C18" s="5">
        <v>0</v>
      </c>
      <c r="D18" s="5">
        <v>0</v>
      </c>
      <c r="E18" s="5">
        <v>0</v>
      </c>
      <c r="F18" s="5">
        <v>0</v>
      </c>
      <c r="G18" s="5">
        <v>0</v>
      </c>
      <c r="H18" s="5">
        <v>0</v>
      </c>
      <c r="I18" s="5">
        <v>0</v>
      </c>
      <c r="J18" s="5">
        <v>0</v>
      </c>
      <c r="K18" s="5">
        <v>1</v>
      </c>
      <c r="L18" s="5">
        <v>1</v>
      </c>
      <c r="M18" s="5">
        <v>0</v>
      </c>
      <c r="N18" s="5">
        <v>0</v>
      </c>
      <c r="O18" s="5">
        <v>0</v>
      </c>
      <c r="P18" s="5">
        <v>0</v>
      </c>
      <c r="Q18" s="5">
        <v>0</v>
      </c>
      <c r="R18" s="5">
        <f t="shared" si="0"/>
        <v>3</v>
      </c>
      <c r="S18" s="5">
        <v>0</v>
      </c>
      <c r="T18" s="5">
        <v>1</v>
      </c>
      <c r="U18" s="5">
        <v>0</v>
      </c>
      <c r="V18" s="5">
        <v>0</v>
      </c>
      <c r="W18" s="5">
        <v>0</v>
      </c>
      <c r="X18" s="5">
        <v>0</v>
      </c>
      <c r="Y18" s="5">
        <v>0</v>
      </c>
      <c r="Z18" s="5">
        <v>0</v>
      </c>
      <c r="AA18" s="5">
        <v>0</v>
      </c>
      <c r="AB18" s="5">
        <v>0</v>
      </c>
      <c r="AC18" s="5">
        <v>0</v>
      </c>
      <c r="AD18" s="5">
        <v>0</v>
      </c>
      <c r="AE18" s="5">
        <v>0</v>
      </c>
      <c r="AF18" s="5">
        <v>0</v>
      </c>
      <c r="AG18" s="5">
        <v>0</v>
      </c>
      <c r="AH18" s="5">
        <v>0</v>
      </c>
      <c r="AI18" s="5">
        <f t="shared" si="1"/>
        <v>1</v>
      </c>
      <c r="AJ18" s="5">
        <v>0</v>
      </c>
      <c r="AK18" s="5">
        <v>1</v>
      </c>
      <c r="AL18" s="5">
        <v>0</v>
      </c>
      <c r="AM18" s="5">
        <v>0</v>
      </c>
      <c r="AN18" s="5">
        <v>1</v>
      </c>
      <c r="AO18" s="5">
        <v>0</v>
      </c>
      <c r="AP18" s="5">
        <v>0</v>
      </c>
      <c r="AQ18" s="5">
        <v>0</v>
      </c>
      <c r="AR18" s="5">
        <v>0</v>
      </c>
      <c r="AS18" s="5">
        <v>1</v>
      </c>
      <c r="AT18" s="5">
        <v>0</v>
      </c>
      <c r="AU18" s="5">
        <v>0</v>
      </c>
      <c r="AV18" s="5">
        <f t="shared" si="2"/>
        <v>3</v>
      </c>
      <c r="AW18" s="5">
        <v>0</v>
      </c>
      <c r="AX18" s="5">
        <v>0</v>
      </c>
      <c r="AY18" s="5">
        <v>0</v>
      </c>
      <c r="AZ18" s="5">
        <v>0</v>
      </c>
      <c r="BA18" s="5">
        <v>0</v>
      </c>
      <c r="BB18" s="5">
        <v>0</v>
      </c>
      <c r="BC18" s="5">
        <v>0</v>
      </c>
      <c r="BD18" s="5">
        <v>0</v>
      </c>
      <c r="BE18" s="5">
        <v>0</v>
      </c>
      <c r="BF18" s="5">
        <v>0</v>
      </c>
      <c r="BG18">
        <f t="shared" si="3"/>
        <v>0</v>
      </c>
    </row>
    <row r="19" spans="1:59" ht="15.75" thickBot="1">
      <c r="A19" s="15" t="s">
        <v>69</v>
      </c>
      <c r="B19" s="5">
        <v>1</v>
      </c>
      <c r="C19" s="5">
        <v>0</v>
      </c>
      <c r="D19" s="5">
        <v>0</v>
      </c>
      <c r="E19" s="5">
        <v>1</v>
      </c>
      <c r="F19" s="5">
        <v>0</v>
      </c>
      <c r="G19" s="5">
        <v>1</v>
      </c>
      <c r="H19" s="5">
        <v>0</v>
      </c>
      <c r="I19" s="5">
        <v>0</v>
      </c>
      <c r="J19" s="5">
        <v>0</v>
      </c>
      <c r="K19" s="5">
        <v>0</v>
      </c>
      <c r="L19" s="5">
        <v>0</v>
      </c>
      <c r="M19" s="5">
        <v>0</v>
      </c>
      <c r="N19" s="5">
        <v>0</v>
      </c>
      <c r="O19" s="5">
        <v>1</v>
      </c>
      <c r="P19" s="5">
        <v>0</v>
      </c>
      <c r="Q19" s="5">
        <v>0</v>
      </c>
      <c r="R19" s="5">
        <f t="shared" si="0"/>
        <v>4</v>
      </c>
      <c r="S19" s="5">
        <v>1</v>
      </c>
      <c r="T19" s="5">
        <v>1</v>
      </c>
      <c r="U19" s="5">
        <v>0</v>
      </c>
      <c r="V19" s="5">
        <v>0</v>
      </c>
      <c r="W19" s="5">
        <v>0</v>
      </c>
      <c r="X19" s="5">
        <v>0</v>
      </c>
      <c r="Y19" s="5">
        <v>0</v>
      </c>
      <c r="Z19" s="5">
        <v>0</v>
      </c>
      <c r="AA19" s="5">
        <v>0</v>
      </c>
      <c r="AB19" s="5">
        <v>1</v>
      </c>
      <c r="AC19" s="5">
        <v>0</v>
      </c>
      <c r="AD19" s="5">
        <v>0</v>
      </c>
      <c r="AE19" s="5">
        <v>0</v>
      </c>
      <c r="AF19" s="5">
        <v>0</v>
      </c>
      <c r="AG19" s="5">
        <v>0</v>
      </c>
      <c r="AH19" s="5">
        <v>0</v>
      </c>
      <c r="AI19" s="5">
        <f t="shared" si="1"/>
        <v>3</v>
      </c>
      <c r="AJ19" s="5">
        <v>0</v>
      </c>
      <c r="AK19" s="5">
        <v>0</v>
      </c>
      <c r="AL19" s="5">
        <v>0</v>
      </c>
      <c r="AM19" s="5">
        <v>0</v>
      </c>
      <c r="AN19" s="5">
        <v>0</v>
      </c>
      <c r="AO19" s="5">
        <v>0</v>
      </c>
      <c r="AP19" s="5">
        <v>0</v>
      </c>
      <c r="AQ19" s="5">
        <v>0</v>
      </c>
      <c r="AR19" s="5">
        <v>1</v>
      </c>
      <c r="AS19" s="5">
        <v>0</v>
      </c>
      <c r="AT19" s="5">
        <v>0</v>
      </c>
      <c r="AU19" s="5">
        <v>0</v>
      </c>
      <c r="AV19" s="5">
        <f t="shared" si="2"/>
        <v>1</v>
      </c>
      <c r="AW19" s="5">
        <v>0</v>
      </c>
      <c r="AX19" s="5">
        <v>1</v>
      </c>
      <c r="AY19" s="5">
        <v>1</v>
      </c>
      <c r="AZ19" s="5">
        <v>0</v>
      </c>
      <c r="BA19" s="5">
        <v>1</v>
      </c>
      <c r="BB19" s="5">
        <v>0</v>
      </c>
      <c r="BC19" s="5">
        <v>1</v>
      </c>
      <c r="BD19" s="5">
        <v>0</v>
      </c>
      <c r="BE19" s="5">
        <v>0</v>
      </c>
      <c r="BF19" s="5">
        <v>1</v>
      </c>
      <c r="BG19">
        <f t="shared" si="3"/>
        <v>5</v>
      </c>
    </row>
    <row r="20" spans="1:59" ht="15.75" thickBot="1">
      <c r="A20" s="15" t="s">
        <v>70</v>
      </c>
      <c r="B20" s="5">
        <v>0</v>
      </c>
      <c r="C20" s="5">
        <v>0</v>
      </c>
      <c r="D20" s="5">
        <v>1</v>
      </c>
      <c r="E20" s="5">
        <v>0</v>
      </c>
      <c r="F20" s="5">
        <v>0</v>
      </c>
      <c r="G20" s="5">
        <v>0</v>
      </c>
      <c r="H20" s="5">
        <v>1</v>
      </c>
      <c r="I20" s="5">
        <v>0</v>
      </c>
      <c r="J20" s="5">
        <v>0</v>
      </c>
      <c r="K20" s="5">
        <v>0</v>
      </c>
      <c r="L20" s="5">
        <v>0</v>
      </c>
      <c r="M20" s="5">
        <v>0</v>
      </c>
      <c r="N20" s="5">
        <v>0</v>
      </c>
      <c r="O20" s="5">
        <v>0</v>
      </c>
      <c r="P20" s="5">
        <v>0</v>
      </c>
      <c r="Q20" s="5">
        <v>0</v>
      </c>
      <c r="R20" s="5">
        <f t="shared" si="0"/>
        <v>2</v>
      </c>
      <c r="S20" s="5">
        <v>1</v>
      </c>
      <c r="T20" s="5">
        <v>0</v>
      </c>
      <c r="U20" s="5">
        <v>1</v>
      </c>
      <c r="V20" s="5">
        <v>0</v>
      </c>
      <c r="W20" s="5">
        <v>0</v>
      </c>
      <c r="X20" s="5">
        <v>0</v>
      </c>
      <c r="Y20" s="5">
        <v>0</v>
      </c>
      <c r="Z20" s="5">
        <v>0</v>
      </c>
      <c r="AA20" s="5">
        <v>0</v>
      </c>
      <c r="AB20" s="5">
        <v>0</v>
      </c>
      <c r="AC20" s="5">
        <v>0</v>
      </c>
      <c r="AD20" s="5">
        <v>0</v>
      </c>
      <c r="AE20" s="5">
        <v>0</v>
      </c>
      <c r="AF20" s="5">
        <v>1</v>
      </c>
      <c r="AG20" s="5">
        <v>0</v>
      </c>
      <c r="AH20" s="5">
        <v>0</v>
      </c>
      <c r="AI20" s="5">
        <f t="shared" si="1"/>
        <v>3</v>
      </c>
      <c r="AJ20" s="5">
        <v>0</v>
      </c>
      <c r="AK20" s="5">
        <v>0</v>
      </c>
      <c r="AL20" s="5">
        <v>1</v>
      </c>
      <c r="AM20" s="5">
        <v>0</v>
      </c>
      <c r="AN20" s="5">
        <v>0</v>
      </c>
      <c r="AO20" s="5">
        <v>1</v>
      </c>
      <c r="AP20" s="5">
        <v>0</v>
      </c>
      <c r="AQ20" s="5">
        <v>0</v>
      </c>
      <c r="AR20" s="5">
        <v>0</v>
      </c>
      <c r="AS20" s="5">
        <v>0</v>
      </c>
      <c r="AT20" s="5">
        <v>0</v>
      </c>
      <c r="AU20" s="5">
        <v>0</v>
      </c>
      <c r="AV20" s="5">
        <f t="shared" si="2"/>
        <v>2</v>
      </c>
      <c r="AW20" s="5">
        <v>0</v>
      </c>
      <c r="AX20" s="5">
        <v>0</v>
      </c>
      <c r="AY20" s="5">
        <v>1</v>
      </c>
      <c r="AZ20" s="5">
        <v>0</v>
      </c>
      <c r="BA20" s="5">
        <v>0</v>
      </c>
      <c r="BB20" s="5">
        <v>0</v>
      </c>
      <c r="BC20" s="5">
        <v>0</v>
      </c>
      <c r="BD20" s="5">
        <v>0</v>
      </c>
      <c r="BE20" s="5">
        <v>1</v>
      </c>
      <c r="BF20" s="5">
        <v>1</v>
      </c>
      <c r="BG20">
        <f t="shared" si="3"/>
        <v>3</v>
      </c>
    </row>
    <row r="21" spans="1:59" ht="15.75" thickBot="1">
      <c r="A21" s="15" t="s">
        <v>71</v>
      </c>
      <c r="B21" s="5">
        <v>1</v>
      </c>
      <c r="C21" s="5">
        <v>0</v>
      </c>
      <c r="D21" s="5">
        <v>1</v>
      </c>
      <c r="E21" s="5">
        <v>0</v>
      </c>
      <c r="F21" s="5">
        <v>0</v>
      </c>
      <c r="G21" s="5">
        <v>1</v>
      </c>
      <c r="H21" s="5">
        <v>0</v>
      </c>
      <c r="I21" s="5">
        <v>1</v>
      </c>
      <c r="J21" s="5">
        <v>0</v>
      </c>
      <c r="K21" s="5">
        <v>0</v>
      </c>
      <c r="L21" s="5">
        <v>0</v>
      </c>
      <c r="M21" s="5">
        <v>0</v>
      </c>
      <c r="N21" s="5">
        <v>1</v>
      </c>
      <c r="O21" s="5">
        <v>0</v>
      </c>
      <c r="P21" s="5">
        <v>1</v>
      </c>
      <c r="Q21" s="5">
        <v>0</v>
      </c>
      <c r="R21" s="5">
        <f t="shared" si="0"/>
        <v>6</v>
      </c>
      <c r="S21" s="5">
        <v>0</v>
      </c>
      <c r="T21" s="5">
        <v>0</v>
      </c>
      <c r="U21" s="5">
        <v>0</v>
      </c>
      <c r="V21" s="5">
        <v>0</v>
      </c>
      <c r="W21" s="5">
        <v>0</v>
      </c>
      <c r="X21" s="5">
        <v>0</v>
      </c>
      <c r="Y21" s="5">
        <v>0</v>
      </c>
      <c r="Z21" s="5">
        <v>1</v>
      </c>
      <c r="AA21" s="5">
        <v>0</v>
      </c>
      <c r="AB21" s="5">
        <v>1</v>
      </c>
      <c r="AC21" s="5">
        <v>0</v>
      </c>
      <c r="AD21" s="5">
        <v>0</v>
      </c>
      <c r="AE21" s="5">
        <v>0</v>
      </c>
      <c r="AF21" s="5">
        <v>0</v>
      </c>
      <c r="AG21" s="5">
        <v>0</v>
      </c>
      <c r="AH21" s="5">
        <v>0</v>
      </c>
      <c r="AI21" s="5">
        <f t="shared" si="1"/>
        <v>2</v>
      </c>
      <c r="AJ21" s="5">
        <v>0</v>
      </c>
      <c r="AK21" s="5">
        <v>0</v>
      </c>
      <c r="AL21" s="5">
        <v>0</v>
      </c>
      <c r="AM21" s="5">
        <v>0</v>
      </c>
      <c r="AN21" s="5">
        <v>0</v>
      </c>
      <c r="AO21" s="5">
        <v>0</v>
      </c>
      <c r="AP21" s="5">
        <v>0</v>
      </c>
      <c r="AQ21" s="5">
        <v>0</v>
      </c>
      <c r="AR21" s="5">
        <v>0</v>
      </c>
      <c r="AS21" s="5">
        <v>0</v>
      </c>
      <c r="AT21" s="5">
        <v>0</v>
      </c>
      <c r="AU21" s="5">
        <v>0</v>
      </c>
      <c r="AV21" s="5">
        <f t="shared" si="2"/>
        <v>0</v>
      </c>
      <c r="AW21" s="5">
        <v>0</v>
      </c>
      <c r="AX21" s="5">
        <v>1</v>
      </c>
      <c r="AY21" s="5">
        <v>1</v>
      </c>
      <c r="AZ21" s="5">
        <v>0</v>
      </c>
      <c r="BA21" s="5">
        <v>0</v>
      </c>
      <c r="BB21" s="5">
        <v>0</v>
      </c>
      <c r="BC21" s="5">
        <v>0</v>
      </c>
      <c r="BD21" s="5">
        <v>0</v>
      </c>
      <c r="BE21" s="5">
        <v>0</v>
      </c>
      <c r="BF21" s="5">
        <v>0</v>
      </c>
      <c r="BG21">
        <f t="shared" si="3"/>
        <v>2</v>
      </c>
    </row>
    <row r="22" spans="1:59" ht="15.75" thickBot="1">
      <c r="A22" s="21" t="s">
        <v>62</v>
      </c>
      <c r="B22" s="17">
        <v>1</v>
      </c>
      <c r="C22" s="19">
        <v>0</v>
      </c>
      <c r="D22" s="19">
        <v>0</v>
      </c>
      <c r="E22" s="19">
        <v>0</v>
      </c>
      <c r="F22" s="18">
        <v>0</v>
      </c>
      <c r="G22" s="18">
        <v>0</v>
      </c>
      <c r="H22" s="18">
        <v>0</v>
      </c>
      <c r="I22" s="18">
        <v>0</v>
      </c>
      <c r="J22" s="18">
        <v>0</v>
      </c>
      <c r="K22" s="18">
        <v>0</v>
      </c>
      <c r="L22" s="18">
        <v>0</v>
      </c>
      <c r="M22" s="18">
        <v>0</v>
      </c>
      <c r="N22" s="18">
        <v>0</v>
      </c>
      <c r="O22" s="18">
        <v>0</v>
      </c>
      <c r="P22" s="18">
        <v>0</v>
      </c>
      <c r="Q22" s="18">
        <v>0</v>
      </c>
      <c r="R22" s="5">
        <f t="shared" si="0"/>
        <v>1</v>
      </c>
      <c r="S22" s="18">
        <v>0</v>
      </c>
      <c r="T22" s="17">
        <v>1</v>
      </c>
      <c r="U22" s="18">
        <v>0</v>
      </c>
      <c r="V22" s="17">
        <v>1</v>
      </c>
      <c r="W22" s="18">
        <v>0</v>
      </c>
      <c r="X22" s="19">
        <v>0</v>
      </c>
      <c r="Y22" s="18">
        <v>0</v>
      </c>
      <c r="Z22" s="18">
        <v>0</v>
      </c>
      <c r="AA22" s="18">
        <v>0</v>
      </c>
      <c r="AB22" s="18">
        <v>0</v>
      </c>
      <c r="AC22" s="18">
        <v>0</v>
      </c>
      <c r="AD22" s="18">
        <v>0</v>
      </c>
      <c r="AE22" s="18">
        <v>0</v>
      </c>
      <c r="AF22" s="18">
        <v>0</v>
      </c>
      <c r="AG22" s="18">
        <v>0</v>
      </c>
      <c r="AH22" s="18">
        <v>0</v>
      </c>
      <c r="AI22" s="5">
        <f t="shared" si="1"/>
        <v>2</v>
      </c>
      <c r="AJ22" s="18">
        <v>0</v>
      </c>
      <c r="AK22" s="18">
        <v>0</v>
      </c>
      <c r="AL22" s="17">
        <v>1</v>
      </c>
      <c r="AM22" s="18">
        <v>0</v>
      </c>
      <c r="AN22" s="17">
        <v>1</v>
      </c>
      <c r="AO22" s="18">
        <v>0</v>
      </c>
      <c r="AP22" s="17">
        <v>1</v>
      </c>
      <c r="AQ22" s="18">
        <v>0</v>
      </c>
      <c r="AR22" s="19">
        <v>0</v>
      </c>
      <c r="AS22" s="18">
        <v>0</v>
      </c>
      <c r="AT22" s="18">
        <v>0</v>
      </c>
      <c r="AU22" s="17">
        <v>1</v>
      </c>
      <c r="AV22" s="5">
        <f t="shared" si="2"/>
        <v>4</v>
      </c>
      <c r="AW22" s="18">
        <v>0</v>
      </c>
      <c r="AX22" s="17">
        <v>1</v>
      </c>
      <c r="AY22" s="18">
        <v>0</v>
      </c>
      <c r="AZ22" s="19">
        <v>0</v>
      </c>
      <c r="BA22" s="18">
        <v>0</v>
      </c>
      <c r="BB22" s="18">
        <v>0</v>
      </c>
      <c r="BC22" s="18">
        <v>0</v>
      </c>
      <c r="BD22" s="18">
        <v>0</v>
      </c>
      <c r="BE22" s="18">
        <v>0</v>
      </c>
      <c r="BF22" s="18">
        <v>0</v>
      </c>
      <c r="BG22">
        <f t="shared" si="3"/>
        <v>1</v>
      </c>
    </row>
    <row r="23" spans="1:59" ht="15.75" thickBot="1">
      <c r="A23" s="16" t="s">
        <v>63</v>
      </c>
      <c r="B23" s="17">
        <v>1</v>
      </c>
      <c r="C23" s="19">
        <v>0</v>
      </c>
      <c r="D23" s="19">
        <v>0</v>
      </c>
      <c r="E23" s="19">
        <v>0</v>
      </c>
      <c r="F23" s="18">
        <v>0</v>
      </c>
      <c r="G23" s="18">
        <v>0</v>
      </c>
      <c r="H23" s="17">
        <v>1</v>
      </c>
      <c r="I23" s="18">
        <v>0</v>
      </c>
      <c r="J23" s="18">
        <v>0</v>
      </c>
      <c r="K23" s="17">
        <v>1</v>
      </c>
      <c r="L23" s="18">
        <v>0</v>
      </c>
      <c r="M23" s="17">
        <v>1</v>
      </c>
      <c r="N23" s="18">
        <v>0</v>
      </c>
      <c r="O23" s="17">
        <v>1</v>
      </c>
      <c r="P23" s="17">
        <v>1</v>
      </c>
      <c r="Q23" s="18">
        <v>0</v>
      </c>
      <c r="R23" s="5">
        <f t="shared" si="0"/>
        <v>6</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5">
        <f t="shared" si="1"/>
        <v>0</v>
      </c>
      <c r="AJ23" s="18">
        <v>0</v>
      </c>
      <c r="AK23" s="17">
        <v>1</v>
      </c>
      <c r="AL23" s="17">
        <v>1</v>
      </c>
      <c r="AM23" s="17">
        <v>1</v>
      </c>
      <c r="AN23" s="17">
        <v>1</v>
      </c>
      <c r="AO23" s="18">
        <v>0</v>
      </c>
      <c r="AP23" s="18">
        <v>0</v>
      </c>
      <c r="AQ23" s="17">
        <v>1</v>
      </c>
      <c r="AR23" s="19">
        <v>0</v>
      </c>
      <c r="AS23" s="18">
        <v>0</v>
      </c>
      <c r="AT23" s="17">
        <v>1</v>
      </c>
      <c r="AU23" s="17">
        <v>1</v>
      </c>
      <c r="AV23" s="5">
        <f t="shared" si="2"/>
        <v>7</v>
      </c>
      <c r="AW23" s="17">
        <v>1</v>
      </c>
      <c r="AX23" s="18">
        <v>0</v>
      </c>
      <c r="AY23" s="18">
        <v>0</v>
      </c>
      <c r="AZ23" s="19">
        <v>0</v>
      </c>
      <c r="BA23" s="18">
        <v>0</v>
      </c>
      <c r="BB23" s="18">
        <v>0</v>
      </c>
      <c r="BC23" s="17">
        <v>1</v>
      </c>
      <c r="BD23" s="18">
        <v>0</v>
      </c>
      <c r="BE23" s="18">
        <v>0</v>
      </c>
      <c r="BF23" s="18">
        <v>0</v>
      </c>
      <c r="BG23">
        <f t="shared" si="3"/>
        <v>2</v>
      </c>
    </row>
    <row r="24" spans="1:59" ht="15.75" thickBot="1">
      <c r="A24" s="16" t="s">
        <v>64</v>
      </c>
      <c r="B24" s="18">
        <v>0</v>
      </c>
      <c r="C24" s="19">
        <v>0</v>
      </c>
      <c r="D24" s="19">
        <v>0</v>
      </c>
      <c r="E24" s="18">
        <v>0</v>
      </c>
      <c r="F24" s="18">
        <v>0</v>
      </c>
      <c r="G24" s="18">
        <v>0</v>
      </c>
      <c r="H24" s="18">
        <v>0</v>
      </c>
      <c r="I24" s="18">
        <v>0</v>
      </c>
      <c r="J24" s="18">
        <v>0</v>
      </c>
      <c r="K24" s="18">
        <v>0</v>
      </c>
      <c r="L24" s="18">
        <v>0</v>
      </c>
      <c r="M24" s="18">
        <v>0</v>
      </c>
      <c r="N24" s="18">
        <v>0</v>
      </c>
      <c r="O24" s="18">
        <v>0</v>
      </c>
      <c r="P24" s="18">
        <v>0</v>
      </c>
      <c r="Q24" s="18">
        <v>0</v>
      </c>
      <c r="R24" s="5">
        <f t="shared" si="0"/>
        <v>0</v>
      </c>
      <c r="S24" s="18">
        <v>0</v>
      </c>
      <c r="T24" s="18">
        <v>0</v>
      </c>
      <c r="U24" s="18">
        <v>0</v>
      </c>
      <c r="V24" s="17">
        <v>1</v>
      </c>
      <c r="W24" s="18">
        <v>0</v>
      </c>
      <c r="X24" s="18">
        <v>0</v>
      </c>
      <c r="Y24" s="18">
        <v>0</v>
      </c>
      <c r="Z24" s="18">
        <v>0</v>
      </c>
      <c r="AA24" s="18">
        <v>0</v>
      </c>
      <c r="AB24" s="18">
        <v>0</v>
      </c>
      <c r="AC24" s="18">
        <v>0</v>
      </c>
      <c r="AD24" s="18">
        <v>0</v>
      </c>
      <c r="AE24" s="17">
        <v>1</v>
      </c>
      <c r="AF24" s="18">
        <v>0</v>
      </c>
      <c r="AG24" s="18">
        <v>0</v>
      </c>
      <c r="AH24" s="18">
        <v>0</v>
      </c>
      <c r="AI24" s="5">
        <f t="shared" si="1"/>
        <v>2</v>
      </c>
      <c r="AJ24" s="17">
        <v>1</v>
      </c>
      <c r="AK24" s="18">
        <v>0</v>
      </c>
      <c r="AL24" s="18">
        <v>0</v>
      </c>
      <c r="AM24" s="18">
        <v>0</v>
      </c>
      <c r="AN24" s="18">
        <v>0</v>
      </c>
      <c r="AO24" s="17">
        <v>1</v>
      </c>
      <c r="AP24" s="18">
        <v>0</v>
      </c>
      <c r="AQ24" s="17">
        <v>1</v>
      </c>
      <c r="AR24" s="18">
        <v>0</v>
      </c>
      <c r="AS24" s="18">
        <v>0</v>
      </c>
      <c r="AT24" s="18">
        <v>0</v>
      </c>
      <c r="AU24" s="18">
        <v>0</v>
      </c>
      <c r="AV24" s="5">
        <f t="shared" si="2"/>
        <v>2</v>
      </c>
      <c r="AW24" s="18">
        <v>0</v>
      </c>
      <c r="AX24" s="17">
        <v>1</v>
      </c>
      <c r="AY24" s="18">
        <v>0</v>
      </c>
      <c r="AZ24" s="18">
        <v>0</v>
      </c>
      <c r="BA24" s="18">
        <v>0</v>
      </c>
      <c r="BB24" s="18">
        <v>0</v>
      </c>
      <c r="BC24" s="18">
        <v>0</v>
      </c>
      <c r="BD24" s="17">
        <v>1</v>
      </c>
      <c r="BE24" s="18">
        <v>0</v>
      </c>
      <c r="BF24" s="18">
        <v>0</v>
      </c>
      <c r="BG24">
        <f t="shared" si="3"/>
        <v>2</v>
      </c>
    </row>
    <row r="25" spans="1:59" ht="15.75" thickBot="1">
      <c r="A25" s="16" t="s">
        <v>65</v>
      </c>
      <c r="B25" s="18">
        <v>0</v>
      </c>
      <c r="C25" s="19">
        <v>0</v>
      </c>
      <c r="D25" s="17">
        <v>1</v>
      </c>
      <c r="E25" s="18">
        <v>0</v>
      </c>
      <c r="F25" s="18">
        <v>0</v>
      </c>
      <c r="G25" s="17">
        <v>1</v>
      </c>
      <c r="H25" s="17">
        <v>1</v>
      </c>
      <c r="I25" s="18">
        <v>0</v>
      </c>
      <c r="J25" s="18">
        <v>0</v>
      </c>
      <c r="K25" s="18">
        <v>0</v>
      </c>
      <c r="L25" s="18">
        <v>0</v>
      </c>
      <c r="M25" s="18">
        <v>0</v>
      </c>
      <c r="N25" s="18">
        <v>0</v>
      </c>
      <c r="O25" s="18">
        <v>0</v>
      </c>
      <c r="P25" s="18">
        <v>0</v>
      </c>
      <c r="Q25" s="17">
        <v>1</v>
      </c>
      <c r="R25" s="5">
        <f t="shared" si="0"/>
        <v>4</v>
      </c>
      <c r="S25" s="18">
        <v>0</v>
      </c>
      <c r="T25" s="18">
        <v>0</v>
      </c>
      <c r="U25" s="18">
        <v>0</v>
      </c>
      <c r="V25" s="18">
        <v>0</v>
      </c>
      <c r="W25" s="18">
        <v>0</v>
      </c>
      <c r="X25" s="18">
        <v>0</v>
      </c>
      <c r="Y25" s="18">
        <v>0</v>
      </c>
      <c r="Z25" s="17">
        <v>1</v>
      </c>
      <c r="AA25" s="17">
        <v>1</v>
      </c>
      <c r="AB25" s="18">
        <v>0</v>
      </c>
      <c r="AC25" s="17">
        <v>1</v>
      </c>
      <c r="AD25" s="18">
        <v>0</v>
      </c>
      <c r="AE25" s="17">
        <v>1</v>
      </c>
      <c r="AF25" s="18">
        <v>0</v>
      </c>
      <c r="AG25" s="18">
        <v>0</v>
      </c>
      <c r="AH25" s="18">
        <v>0</v>
      </c>
      <c r="AI25" s="5">
        <f t="shared" si="1"/>
        <v>4</v>
      </c>
      <c r="AJ25" s="18">
        <v>0</v>
      </c>
      <c r="AK25" s="18">
        <v>0</v>
      </c>
      <c r="AL25" s="18">
        <v>0</v>
      </c>
      <c r="AM25" s="18">
        <v>0</v>
      </c>
      <c r="AN25" s="17">
        <v>1</v>
      </c>
      <c r="AO25" s="18">
        <v>0</v>
      </c>
      <c r="AP25" s="18">
        <v>0</v>
      </c>
      <c r="AQ25" s="17">
        <v>1</v>
      </c>
      <c r="AR25" s="17">
        <v>1</v>
      </c>
      <c r="AS25" s="18">
        <v>0</v>
      </c>
      <c r="AT25" s="18">
        <v>0</v>
      </c>
      <c r="AU25" s="18">
        <v>0</v>
      </c>
      <c r="AV25" s="5">
        <f t="shared" si="2"/>
        <v>3</v>
      </c>
      <c r="AW25" s="18">
        <v>0</v>
      </c>
      <c r="AX25" s="18">
        <v>0</v>
      </c>
      <c r="AY25" s="17">
        <v>1</v>
      </c>
      <c r="AZ25" s="18">
        <v>0</v>
      </c>
      <c r="BA25" s="18">
        <v>0</v>
      </c>
      <c r="BB25" s="18">
        <v>0</v>
      </c>
      <c r="BC25" s="17">
        <v>1</v>
      </c>
      <c r="BD25" s="18">
        <v>0</v>
      </c>
      <c r="BE25" s="18">
        <v>0</v>
      </c>
      <c r="BF25" s="18">
        <v>0</v>
      </c>
      <c r="BG25">
        <f t="shared" si="3"/>
        <v>2</v>
      </c>
    </row>
    <row r="26" spans="1:59" ht="15.75" thickBot="1">
      <c r="A26" s="16" t="s">
        <v>66</v>
      </c>
      <c r="B26" s="17">
        <v>1</v>
      </c>
      <c r="C26" s="17">
        <v>1</v>
      </c>
      <c r="D26" s="18">
        <v>0</v>
      </c>
      <c r="E26" s="18">
        <v>0</v>
      </c>
      <c r="F26" s="17">
        <v>1</v>
      </c>
      <c r="G26" s="18">
        <v>0</v>
      </c>
      <c r="H26" s="18">
        <v>0</v>
      </c>
      <c r="I26" s="18">
        <v>0</v>
      </c>
      <c r="J26" s="18">
        <v>0</v>
      </c>
      <c r="K26" s="18">
        <v>0</v>
      </c>
      <c r="L26" s="18">
        <v>0</v>
      </c>
      <c r="M26" s="18">
        <v>0</v>
      </c>
      <c r="N26" s="18">
        <v>0</v>
      </c>
      <c r="O26" s="18">
        <v>0</v>
      </c>
      <c r="P26" s="18">
        <v>0</v>
      </c>
      <c r="Q26" s="17">
        <v>1</v>
      </c>
      <c r="R26" s="5">
        <f t="shared" si="0"/>
        <v>4</v>
      </c>
      <c r="S26" s="17">
        <v>1</v>
      </c>
      <c r="T26" s="18">
        <v>0</v>
      </c>
      <c r="U26" s="18">
        <v>0</v>
      </c>
      <c r="V26" s="18">
        <v>0</v>
      </c>
      <c r="W26" s="18">
        <v>0</v>
      </c>
      <c r="X26" s="18">
        <v>0</v>
      </c>
      <c r="Y26" s="18">
        <v>0</v>
      </c>
      <c r="Z26" s="17">
        <v>1</v>
      </c>
      <c r="AA26" s="18">
        <v>0</v>
      </c>
      <c r="AB26" s="18">
        <v>0</v>
      </c>
      <c r="AC26" s="18">
        <v>0</v>
      </c>
      <c r="AD26" s="18">
        <v>0</v>
      </c>
      <c r="AE26" s="18">
        <v>0</v>
      </c>
      <c r="AF26" s="18">
        <v>0</v>
      </c>
      <c r="AG26" s="18">
        <v>0</v>
      </c>
      <c r="AH26" s="18">
        <v>0</v>
      </c>
      <c r="AI26" s="5">
        <f t="shared" si="1"/>
        <v>2</v>
      </c>
      <c r="AJ26" s="17">
        <v>1</v>
      </c>
      <c r="AK26" s="18">
        <v>0</v>
      </c>
      <c r="AL26" s="18">
        <v>0</v>
      </c>
      <c r="AM26" s="18">
        <v>0</v>
      </c>
      <c r="AN26" s="18">
        <v>0</v>
      </c>
      <c r="AO26" s="17">
        <v>1</v>
      </c>
      <c r="AP26" s="18">
        <v>0</v>
      </c>
      <c r="AQ26" s="18">
        <v>0</v>
      </c>
      <c r="AR26" s="18">
        <v>0</v>
      </c>
      <c r="AS26" s="17">
        <v>1</v>
      </c>
      <c r="AT26" s="18">
        <v>0</v>
      </c>
      <c r="AU26" s="17">
        <v>1</v>
      </c>
      <c r="AV26" s="5">
        <f t="shared" si="2"/>
        <v>3</v>
      </c>
      <c r="AW26" s="18">
        <v>0</v>
      </c>
      <c r="AX26" s="20">
        <v>0</v>
      </c>
      <c r="AY26" s="18">
        <v>0</v>
      </c>
      <c r="AZ26" s="18">
        <v>0</v>
      </c>
      <c r="BA26" s="18">
        <v>0</v>
      </c>
      <c r="BB26" s="18">
        <v>0</v>
      </c>
      <c r="BC26" s="18">
        <v>0</v>
      </c>
      <c r="BD26" s="18">
        <v>0</v>
      </c>
      <c r="BE26" s="18">
        <v>0</v>
      </c>
      <c r="BF26" s="18">
        <v>0</v>
      </c>
      <c r="BG26">
        <f t="shared" si="3"/>
        <v>0</v>
      </c>
    </row>
    <row r="27" spans="1:59" ht="15.75" thickBot="1">
      <c r="A27" s="16" t="s">
        <v>67</v>
      </c>
      <c r="B27" s="17">
        <v>1</v>
      </c>
      <c r="C27" s="18">
        <v>0</v>
      </c>
      <c r="D27" s="18">
        <v>0</v>
      </c>
      <c r="E27" s="18">
        <v>0</v>
      </c>
      <c r="F27" s="18">
        <v>0</v>
      </c>
      <c r="G27" s="17">
        <v>1</v>
      </c>
      <c r="H27" s="18">
        <v>0</v>
      </c>
      <c r="I27" s="18">
        <v>0</v>
      </c>
      <c r="J27" s="18">
        <v>0</v>
      </c>
      <c r="K27" s="18">
        <v>0</v>
      </c>
      <c r="L27" s="18">
        <v>0</v>
      </c>
      <c r="M27" s="18">
        <v>0</v>
      </c>
      <c r="N27" s="18">
        <v>0</v>
      </c>
      <c r="O27" s="18">
        <v>0</v>
      </c>
      <c r="P27" s="18">
        <v>0</v>
      </c>
      <c r="Q27" s="18">
        <v>0</v>
      </c>
      <c r="R27" s="5">
        <f t="shared" si="0"/>
        <v>2</v>
      </c>
      <c r="S27" s="17">
        <v>1</v>
      </c>
      <c r="T27" s="18">
        <v>0</v>
      </c>
      <c r="U27" s="18">
        <v>0</v>
      </c>
      <c r="V27" s="17">
        <v>1</v>
      </c>
      <c r="W27" s="18">
        <v>0</v>
      </c>
      <c r="X27" s="18">
        <v>0</v>
      </c>
      <c r="Y27" s="18">
        <v>0</v>
      </c>
      <c r="Z27" s="18">
        <v>0</v>
      </c>
      <c r="AA27" s="17">
        <v>1</v>
      </c>
      <c r="AB27" s="18">
        <v>0</v>
      </c>
      <c r="AC27" s="18">
        <v>0</v>
      </c>
      <c r="AD27" s="17">
        <v>1</v>
      </c>
      <c r="AE27" s="18">
        <v>0</v>
      </c>
      <c r="AF27" s="17">
        <v>1</v>
      </c>
      <c r="AG27" s="18">
        <v>0</v>
      </c>
      <c r="AH27" s="18">
        <v>0</v>
      </c>
      <c r="AI27" s="5">
        <f t="shared" si="1"/>
        <v>5</v>
      </c>
      <c r="AJ27" s="18">
        <v>0</v>
      </c>
      <c r="AK27" s="18">
        <v>0</v>
      </c>
      <c r="AL27" s="18">
        <v>0</v>
      </c>
      <c r="AM27" s="18">
        <v>0</v>
      </c>
      <c r="AN27" s="18">
        <v>0</v>
      </c>
      <c r="AO27" s="18">
        <v>0</v>
      </c>
      <c r="AP27" s="17">
        <v>1</v>
      </c>
      <c r="AQ27" s="18">
        <v>0</v>
      </c>
      <c r="AR27" s="18">
        <v>0</v>
      </c>
      <c r="AS27" s="18">
        <v>0</v>
      </c>
      <c r="AT27" s="18">
        <v>0</v>
      </c>
      <c r="AU27" s="18">
        <v>0</v>
      </c>
      <c r="AV27" s="5">
        <f t="shared" si="2"/>
        <v>1</v>
      </c>
      <c r="AW27" s="18">
        <v>0</v>
      </c>
      <c r="AX27" s="18">
        <v>0</v>
      </c>
      <c r="AY27" s="17">
        <v>1</v>
      </c>
      <c r="AZ27" s="17">
        <v>1</v>
      </c>
      <c r="BA27" s="18">
        <v>0</v>
      </c>
      <c r="BB27" s="18">
        <v>0</v>
      </c>
      <c r="BC27" s="18">
        <v>0</v>
      </c>
      <c r="BD27" s="18">
        <v>0</v>
      </c>
      <c r="BE27" s="18">
        <v>0</v>
      </c>
      <c r="BF27" s="17">
        <v>1</v>
      </c>
      <c r="BG27">
        <f t="shared" si="3"/>
        <v>3</v>
      </c>
    </row>
    <row r="28" spans="1:59" ht="15.75" thickBot="1">
      <c r="A28" s="16" t="s">
        <v>68</v>
      </c>
      <c r="B28" s="17">
        <v>1</v>
      </c>
      <c r="C28" s="18">
        <v>0</v>
      </c>
      <c r="D28" s="18">
        <v>0</v>
      </c>
      <c r="E28" s="17">
        <v>1</v>
      </c>
      <c r="F28" s="18">
        <v>0</v>
      </c>
      <c r="G28" s="17">
        <v>1</v>
      </c>
      <c r="H28" s="17">
        <v>1</v>
      </c>
      <c r="I28" s="17">
        <v>1</v>
      </c>
      <c r="J28" s="18">
        <v>0</v>
      </c>
      <c r="K28" s="18">
        <v>0</v>
      </c>
      <c r="L28" s="18">
        <v>0</v>
      </c>
      <c r="M28" s="17">
        <v>1</v>
      </c>
      <c r="N28" s="18">
        <v>0</v>
      </c>
      <c r="O28" s="18">
        <v>0</v>
      </c>
      <c r="P28" s="18">
        <v>0</v>
      </c>
      <c r="Q28" s="18">
        <v>0</v>
      </c>
      <c r="R28" s="5">
        <f t="shared" si="0"/>
        <v>6</v>
      </c>
      <c r="S28" s="18">
        <v>0</v>
      </c>
      <c r="T28" s="18">
        <v>0</v>
      </c>
      <c r="U28" s="17">
        <v>1</v>
      </c>
      <c r="V28" s="17">
        <v>1</v>
      </c>
      <c r="W28" s="18">
        <v>0</v>
      </c>
      <c r="X28" s="18">
        <v>0</v>
      </c>
      <c r="Y28" s="18">
        <v>0</v>
      </c>
      <c r="Z28" s="17">
        <v>1</v>
      </c>
      <c r="AA28" s="18">
        <v>0</v>
      </c>
      <c r="AB28" s="18">
        <v>0</v>
      </c>
      <c r="AC28" s="18">
        <v>0</v>
      </c>
      <c r="AD28" s="17">
        <v>1</v>
      </c>
      <c r="AE28" s="18">
        <v>0</v>
      </c>
      <c r="AF28" s="17">
        <v>1</v>
      </c>
      <c r="AG28" s="18">
        <v>0</v>
      </c>
      <c r="AH28" s="17">
        <v>1</v>
      </c>
      <c r="AI28" s="5">
        <f t="shared" si="1"/>
        <v>6</v>
      </c>
      <c r="AJ28" s="18">
        <v>0</v>
      </c>
      <c r="AK28" s="18">
        <v>0</v>
      </c>
      <c r="AL28" s="17">
        <v>1</v>
      </c>
      <c r="AM28" s="17">
        <v>1</v>
      </c>
      <c r="AN28" s="18">
        <v>0</v>
      </c>
      <c r="AO28" s="17">
        <v>1</v>
      </c>
      <c r="AP28" s="18">
        <v>0</v>
      </c>
      <c r="AQ28" s="17">
        <v>0</v>
      </c>
      <c r="AR28" s="18">
        <v>0</v>
      </c>
      <c r="AS28" s="18">
        <v>0</v>
      </c>
      <c r="AT28" s="17">
        <v>1</v>
      </c>
      <c r="AU28" s="18">
        <v>0</v>
      </c>
      <c r="AV28" s="5">
        <f t="shared" si="2"/>
        <v>4</v>
      </c>
      <c r="AW28" s="18">
        <v>0</v>
      </c>
      <c r="AX28" s="18">
        <v>0</v>
      </c>
      <c r="AY28" s="18">
        <v>0</v>
      </c>
      <c r="AZ28" s="18">
        <v>0</v>
      </c>
      <c r="BA28" s="18">
        <v>0</v>
      </c>
      <c r="BB28" s="18">
        <v>0</v>
      </c>
      <c r="BC28" s="18">
        <v>0</v>
      </c>
      <c r="BD28" s="18">
        <v>0</v>
      </c>
      <c r="BE28" s="17">
        <v>1</v>
      </c>
      <c r="BF28" s="17">
        <v>1</v>
      </c>
      <c r="BG28">
        <f t="shared" si="3"/>
        <v>2</v>
      </c>
    </row>
    <row r="29" spans="1:59" ht="15.75" thickBot="1">
      <c r="A29" s="16" t="s">
        <v>69</v>
      </c>
      <c r="B29" s="17">
        <v>1</v>
      </c>
      <c r="C29" s="18">
        <v>0</v>
      </c>
      <c r="D29" s="18">
        <v>0</v>
      </c>
      <c r="E29" s="18">
        <v>0</v>
      </c>
      <c r="F29" s="18">
        <v>0</v>
      </c>
      <c r="G29" s="18">
        <v>0</v>
      </c>
      <c r="H29" s="18">
        <v>0</v>
      </c>
      <c r="I29" s="17">
        <v>1</v>
      </c>
      <c r="J29" s="17">
        <v>1</v>
      </c>
      <c r="K29" s="18">
        <v>0</v>
      </c>
      <c r="L29" s="17">
        <v>1</v>
      </c>
      <c r="M29" s="18">
        <v>0</v>
      </c>
      <c r="N29" s="17">
        <v>1</v>
      </c>
      <c r="O29" s="18">
        <v>0</v>
      </c>
      <c r="P29" s="18">
        <v>0</v>
      </c>
      <c r="Q29" s="18">
        <v>0</v>
      </c>
      <c r="R29" s="5">
        <f t="shared" si="0"/>
        <v>5</v>
      </c>
      <c r="S29" s="18">
        <v>0</v>
      </c>
      <c r="T29" s="18">
        <v>0</v>
      </c>
      <c r="U29" s="18">
        <v>0</v>
      </c>
      <c r="V29" s="18">
        <v>0</v>
      </c>
      <c r="W29" s="18">
        <v>0</v>
      </c>
      <c r="X29" s="18">
        <v>0</v>
      </c>
      <c r="Y29" s="18">
        <v>0</v>
      </c>
      <c r="Z29" s="18">
        <v>0</v>
      </c>
      <c r="AA29" s="18">
        <v>0</v>
      </c>
      <c r="AB29" s="18">
        <v>0</v>
      </c>
      <c r="AC29" s="18">
        <v>0</v>
      </c>
      <c r="AD29" s="18">
        <v>0</v>
      </c>
      <c r="AE29" s="17">
        <v>1</v>
      </c>
      <c r="AF29" s="18">
        <v>0</v>
      </c>
      <c r="AG29" s="18">
        <v>0</v>
      </c>
      <c r="AH29" s="18">
        <v>0</v>
      </c>
      <c r="AI29" s="5">
        <f t="shared" si="1"/>
        <v>1</v>
      </c>
      <c r="AJ29" s="18">
        <v>0</v>
      </c>
      <c r="AK29" s="18">
        <v>0</v>
      </c>
      <c r="AL29" s="18">
        <v>0</v>
      </c>
      <c r="AM29" s="18">
        <v>0</v>
      </c>
      <c r="AN29" s="17">
        <v>1</v>
      </c>
      <c r="AO29" s="18">
        <v>0</v>
      </c>
      <c r="AP29" s="18">
        <v>0</v>
      </c>
      <c r="AQ29" s="18">
        <v>0</v>
      </c>
      <c r="AR29" s="18">
        <v>0</v>
      </c>
      <c r="AS29" s="18">
        <v>0</v>
      </c>
      <c r="AT29" s="17">
        <v>1</v>
      </c>
      <c r="AU29" s="18">
        <v>0</v>
      </c>
      <c r="AV29" s="5">
        <f t="shared" si="2"/>
        <v>2</v>
      </c>
      <c r="AW29" s="17">
        <v>1</v>
      </c>
      <c r="AX29" s="18">
        <v>0</v>
      </c>
      <c r="AY29" s="17">
        <v>0</v>
      </c>
      <c r="AZ29" s="18">
        <v>0</v>
      </c>
      <c r="BA29" s="18">
        <v>0</v>
      </c>
      <c r="BB29" s="18">
        <v>0</v>
      </c>
      <c r="BC29" s="18">
        <v>0</v>
      </c>
      <c r="BD29" s="17">
        <v>1</v>
      </c>
      <c r="BE29" s="18">
        <v>0</v>
      </c>
      <c r="BF29" s="18">
        <v>0</v>
      </c>
      <c r="BG29">
        <f t="shared" si="3"/>
        <v>2</v>
      </c>
    </row>
    <row r="30" spans="1:59" ht="15.75" thickBot="1">
      <c r="A30" s="16" t="s">
        <v>70</v>
      </c>
      <c r="B30" s="17">
        <v>0</v>
      </c>
      <c r="C30" s="18">
        <v>0</v>
      </c>
      <c r="D30" s="18">
        <v>0</v>
      </c>
      <c r="E30" s="18">
        <v>0</v>
      </c>
      <c r="F30" s="18">
        <v>0</v>
      </c>
      <c r="G30" s="18">
        <v>0</v>
      </c>
      <c r="H30" s="17">
        <v>1</v>
      </c>
      <c r="I30" s="18">
        <v>0</v>
      </c>
      <c r="J30" s="18">
        <v>0</v>
      </c>
      <c r="K30" s="17">
        <v>1</v>
      </c>
      <c r="L30" s="18">
        <v>0</v>
      </c>
      <c r="M30" s="18">
        <v>0</v>
      </c>
      <c r="N30" s="18">
        <v>0</v>
      </c>
      <c r="O30" s="18">
        <v>0</v>
      </c>
      <c r="P30" s="18">
        <v>0</v>
      </c>
      <c r="Q30" s="18">
        <v>0</v>
      </c>
      <c r="R30" s="5">
        <f t="shared" si="0"/>
        <v>2</v>
      </c>
      <c r="S30" s="18">
        <v>0</v>
      </c>
      <c r="T30" s="17">
        <v>1</v>
      </c>
      <c r="U30" s="18">
        <v>0</v>
      </c>
      <c r="V30" s="18">
        <v>0</v>
      </c>
      <c r="W30" s="18">
        <v>0</v>
      </c>
      <c r="X30" s="18">
        <v>0</v>
      </c>
      <c r="Y30" s="17">
        <v>1</v>
      </c>
      <c r="Z30" s="18">
        <v>0</v>
      </c>
      <c r="AA30" s="18">
        <v>0</v>
      </c>
      <c r="AB30" s="18">
        <v>0</v>
      </c>
      <c r="AC30" s="17">
        <v>1</v>
      </c>
      <c r="AD30" s="18">
        <v>0</v>
      </c>
      <c r="AE30" s="17">
        <v>1</v>
      </c>
      <c r="AF30" s="18">
        <v>0</v>
      </c>
      <c r="AG30" s="18">
        <v>0</v>
      </c>
      <c r="AH30" s="18">
        <v>0</v>
      </c>
      <c r="AI30" s="5">
        <f t="shared" si="1"/>
        <v>4</v>
      </c>
      <c r="AJ30" s="18">
        <v>0</v>
      </c>
      <c r="AK30" s="17">
        <v>1</v>
      </c>
      <c r="AL30" s="17">
        <v>1</v>
      </c>
      <c r="AM30" s="18">
        <v>0</v>
      </c>
      <c r="AN30" s="18">
        <v>0</v>
      </c>
      <c r="AO30" s="18">
        <v>0</v>
      </c>
      <c r="AP30" s="18">
        <v>0</v>
      </c>
      <c r="AQ30" s="18">
        <v>0</v>
      </c>
      <c r="AR30" s="18">
        <v>0</v>
      </c>
      <c r="AS30" s="18">
        <v>0</v>
      </c>
      <c r="AT30" s="17">
        <v>1</v>
      </c>
      <c r="AU30" s="18">
        <v>0</v>
      </c>
      <c r="AV30" s="5">
        <f t="shared" si="2"/>
        <v>3</v>
      </c>
      <c r="AW30" s="18">
        <v>0</v>
      </c>
      <c r="AX30" s="18">
        <v>0</v>
      </c>
      <c r="AY30" s="17">
        <v>1</v>
      </c>
      <c r="AZ30" s="17">
        <v>1</v>
      </c>
      <c r="BA30" s="17">
        <v>1</v>
      </c>
      <c r="BB30" s="18">
        <v>0</v>
      </c>
      <c r="BC30" s="17">
        <v>1</v>
      </c>
      <c r="BD30" s="18">
        <v>0</v>
      </c>
      <c r="BE30" s="18">
        <v>0</v>
      </c>
      <c r="BF30" s="17">
        <v>1</v>
      </c>
      <c r="BG30">
        <f t="shared" si="3"/>
        <v>5</v>
      </c>
    </row>
    <row r="31" spans="1:59" ht="15.75" thickBot="1">
      <c r="A31" s="16" t="s">
        <v>71</v>
      </c>
      <c r="B31" s="17">
        <v>1</v>
      </c>
      <c r="C31" s="18">
        <v>0</v>
      </c>
      <c r="D31" s="17">
        <v>1</v>
      </c>
      <c r="E31" s="18">
        <v>0</v>
      </c>
      <c r="F31" s="18">
        <v>0</v>
      </c>
      <c r="G31" s="17">
        <v>1</v>
      </c>
      <c r="H31" s="18">
        <v>0</v>
      </c>
      <c r="I31" s="18">
        <v>0</v>
      </c>
      <c r="J31" s="18">
        <v>0</v>
      </c>
      <c r="K31" s="18">
        <v>0</v>
      </c>
      <c r="L31" s="18">
        <v>0</v>
      </c>
      <c r="M31" s="18">
        <v>0</v>
      </c>
      <c r="N31" s="18">
        <v>0</v>
      </c>
      <c r="O31" s="18">
        <v>0</v>
      </c>
      <c r="P31" s="18">
        <v>0</v>
      </c>
      <c r="Q31" s="17">
        <v>1</v>
      </c>
      <c r="R31" s="5">
        <f t="shared" si="0"/>
        <v>4</v>
      </c>
      <c r="S31" s="17">
        <v>1</v>
      </c>
      <c r="T31" s="18">
        <v>0</v>
      </c>
      <c r="U31" s="18">
        <v>0</v>
      </c>
      <c r="V31" s="17">
        <v>1</v>
      </c>
      <c r="W31" s="17">
        <v>1</v>
      </c>
      <c r="X31" s="18">
        <v>0</v>
      </c>
      <c r="Y31" s="18">
        <v>0</v>
      </c>
      <c r="Z31" s="18">
        <v>0</v>
      </c>
      <c r="AA31" s="18">
        <v>0</v>
      </c>
      <c r="AB31" s="17">
        <v>1</v>
      </c>
      <c r="AC31" s="18">
        <v>0</v>
      </c>
      <c r="AD31" s="18">
        <v>0</v>
      </c>
      <c r="AE31" s="17">
        <v>1</v>
      </c>
      <c r="AF31" s="18">
        <v>0</v>
      </c>
      <c r="AG31" s="18">
        <v>0</v>
      </c>
      <c r="AH31" s="18">
        <v>0</v>
      </c>
      <c r="AI31" s="5">
        <f t="shared" si="1"/>
        <v>5</v>
      </c>
      <c r="AJ31" s="17">
        <v>1</v>
      </c>
      <c r="AK31" s="18">
        <v>0</v>
      </c>
      <c r="AL31" s="18">
        <v>0</v>
      </c>
      <c r="AM31" s="18">
        <v>0</v>
      </c>
      <c r="AN31" s="17">
        <v>1</v>
      </c>
      <c r="AO31" s="18">
        <v>0</v>
      </c>
      <c r="AP31" s="18">
        <v>0</v>
      </c>
      <c r="AQ31" s="18">
        <v>0</v>
      </c>
      <c r="AR31" s="18">
        <v>0</v>
      </c>
      <c r="AS31" s="18">
        <v>0</v>
      </c>
      <c r="AT31" s="18">
        <v>0</v>
      </c>
      <c r="AU31" s="18">
        <v>0</v>
      </c>
      <c r="AV31" s="5">
        <f t="shared" si="2"/>
        <v>1</v>
      </c>
      <c r="AW31" s="18">
        <v>0</v>
      </c>
      <c r="AX31" s="18">
        <v>0</v>
      </c>
      <c r="AY31" s="18">
        <v>0</v>
      </c>
      <c r="AZ31" s="18">
        <v>0</v>
      </c>
      <c r="BA31" s="18">
        <v>0</v>
      </c>
      <c r="BB31" s="18">
        <v>0</v>
      </c>
      <c r="BC31" s="18">
        <v>0</v>
      </c>
      <c r="BD31" s="18">
        <v>0</v>
      </c>
      <c r="BE31" s="18">
        <v>0</v>
      </c>
      <c r="BF31" s="18">
        <v>0</v>
      </c>
      <c r="BG31">
        <f t="shared" si="3"/>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topLeftCell="C1" workbookViewId="0">
      <selection activeCell="E21" sqref="E21"/>
    </sheetView>
  </sheetViews>
  <sheetFormatPr defaultRowHeight="15"/>
  <cols>
    <col min="1" max="1" width="15.42578125" customWidth="1"/>
    <col min="2" max="2" width="14.85546875" customWidth="1"/>
    <col min="3" max="3" width="17" customWidth="1"/>
    <col min="4" max="4" width="17.85546875" customWidth="1"/>
    <col min="5" max="5" width="14" customWidth="1"/>
    <col min="6" max="6" width="11.85546875" customWidth="1"/>
    <col min="7" max="7" width="13.42578125" customWidth="1"/>
    <col min="8" max="8" width="20" customWidth="1"/>
    <col min="9" max="9" width="22.85546875" customWidth="1"/>
    <col min="11" max="11" width="13.42578125" customWidth="1"/>
  </cols>
  <sheetData>
    <row r="1" spans="1:16">
      <c r="A1" s="38" t="s">
        <v>86</v>
      </c>
      <c r="B1" s="38"/>
      <c r="C1" s="38" t="s">
        <v>87</v>
      </c>
      <c r="D1" s="38"/>
      <c r="E1" s="38" t="s">
        <v>88</v>
      </c>
      <c r="F1" s="38"/>
      <c r="G1" s="38" t="s">
        <v>89</v>
      </c>
      <c r="H1" s="38"/>
      <c r="I1" s="38" t="s">
        <v>90</v>
      </c>
      <c r="J1" s="38"/>
      <c r="K1" s="38" t="s">
        <v>91</v>
      </c>
      <c r="L1" s="38"/>
      <c r="M1" s="38" t="s">
        <v>92</v>
      </c>
      <c r="N1" s="38"/>
      <c r="O1" s="38" t="s">
        <v>93</v>
      </c>
      <c r="P1" s="38"/>
    </row>
    <row r="2" spans="1:16">
      <c r="A2" s="36"/>
      <c r="B2" s="36"/>
      <c r="C2" s="36"/>
      <c r="D2" s="36"/>
      <c r="E2" s="36"/>
      <c r="F2" s="36"/>
      <c r="G2" s="36"/>
      <c r="H2" s="36"/>
      <c r="I2" s="36"/>
      <c r="J2" s="36"/>
      <c r="K2" s="36"/>
      <c r="L2" s="36"/>
      <c r="M2" s="36"/>
      <c r="N2" s="36"/>
      <c r="O2" s="36"/>
      <c r="P2" s="36"/>
    </row>
    <row r="3" spans="1:16">
      <c r="A3" s="36" t="s">
        <v>94</v>
      </c>
      <c r="B3" s="36">
        <v>3.0666666666666669</v>
      </c>
      <c r="C3" s="36" t="s">
        <v>94</v>
      </c>
      <c r="D3" s="36">
        <v>2.2666666666666666</v>
      </c>
      <c r="E3" s="36" t="s">
        <v>94</v>
      </c>
      <c r="F3" s="36">
        <v>2.4</v>
      </c>
      <c r="G3" s="36" t="s">
        <v>94</v>
      </c>
      <c r="H3" s="36">
        <v>1.4666666666666666</v>
      </c>
      <c r="I3" s="36" t="s">
        <v>94</v>
      </c>
      <c r="J3" s="36">
        <v>3.9333333333333331</v>
      </c>
      <c r="K3" s="36" t="s">
        <v>94</v>
      </c>
      <c r="L3" s="36">
        <v>3.5666666666666669</v>
      </c>
      <c r="M3" s="36" t="s">
        <v>94</v>
      </c>
      <c r="N3" s="36">
        <v>8.9666666666666668</v>
      </c>
      <c r="O3" s="36" t="s">
        <v>94</v>
      </c>
      <c r="P3" s="36">
        <v>3.5666666666666669</v>
      </c>
    </row>
    <row r="4" spans="1:16">
      <c r="A4" s="36" t="s">
        <v>95</v>
      </c>
      <c r="B4" s="36">
        <v>0.33539591747058983</v>
      </c>
      <c r="C4" s="36" t="s">
        <v>95</v>
      </c>
      <c r="D4" s="36">
        <v>0.30298641270447246</v>
      </c>
      <c r="E4" s="36" t="s">
        <v>95</v>
      </c>
      <c r="F4" s="36">
        <v>0.28607530557489597</v>
      </c>
      <c r="G4" s="36" t="s">
        <v>95</v>
      </c>
      <c r="H4" s="36">
        <v>0.24322230186108626</v>
      </c>
      <c r="I4" s="36" t="s">
        <v>95</v>
      </c>
      <c r="J4" s="36">
        <v>0.24882867361351374</v>
      </c>
      <c r="K4" s="36" t="s">
        <v>95</v>
      </c>
      <c r="L4" s="36">
        <v>0.24298589587436908</v>
      </c>
      <c r="M4" s="36" t="s">
        <v>95</v>
      </c>
      <c r="N4" s="36">
        <v>0.44845413490245706</v>
      </c>
      <c r="O4" s="36" t="s">
        <v>95</v>
      </c>
      <c r="P4" s="36">
        <v>0.29039542337252638</v>
      </c>
    </row>
    <row r="5" spans="1:16">
      <c r="A5" s="36" t="s">
        <v>96</v>
      </c>
      <c r="B5" s="36">
        <v>3</v>
      </c>
      <c r="C5" s="36" t="s">
        <v>96</v>
      </c>
      <c r="D5" s="36">
        <v>2</v>
      </c>
      <c r="E5" s="36" t="s">
        <v>96</v>
      </c>
      <c r="F5" s="36">
        <v>2</v>
      </c>
      <c r="G5" s="36" t="s">
        <v>96</v>
      </c>
      <c r="H5" s="36">
        <v>1</v>
      </c>
      <c r="I5" s="36" t="s">
        <v>96</v>
      </c>
      <c r="J5" s="36">
        <v>4</v>
      </c>
      <c r="K5" s="36" t="s">
        <v>96</v>
      </c>
      <c r="L5" s="36">
        <v>3</v>
      </c>
      <c r="M5" s="36" t="s">
        <v>96</v>
      </c>
      <c r="N5" s="36">
        <v>9</v>
      </c>
      <c r="O5" s="36" t="s">
        <v>96</v>
      </c>
      <c r="P5" s="36">
        <v>3.5</v>
      </c>
    </row>
    <row r="6" spans="1:16">
      <c r="A6" s="36" t="s">
        <v>97</v>
      </c>
      <c r="B6" s="36">
        <v>2</v>
      </c>
      <c r="C6" s="36" t="s">
        <v>97</v>
      </c>
      <c r="D6" s="36">
        <v>1</v>
      </c>
      <c r="E6" s="36" t="s">
        <v>97</v>
      </c>
      <c r="F6" s="36">
        <v>1</v>
      </c>
      <c r="G6" s="36" t="s">
        <v>97</v>
      </c>
      <c r="H6" s="36">
        <v>2</v>
      </c>
      <c r="I6" s="36" t="s">
        <v>97</v>
      </c>
      <c r="J6" s="36">
        <v>5</v>
      </c>
      <c r="K6" s="36" t="s">
        <v>97</v>
      </c>
      <c r="L6" s="36">
        <v>3</v>
      </c>
      <c r="M6" s="36" t="s">
        <v>97</v>
      </c>
      <c r="N6" s="36">
        <v>10</v>
      </c>
      <c r="O6" s="36" t="s">
        <v>97</v>
      </c>
      <c r="P6" s="36">
        <v>5</v>
      </c>
    </row>
    <row r="7" spans="1:16">
      <c r="A7" s="36" t="s">
        <v>98</v>
      </c>
      <c r="B7" s="36">
        <v>1.837039096937831</v>
      </c>
      <c r="C7" s="36" t="s">
        <v>98</v>
      </c>
      <c r="D7" s="36">
        <v>1.6595249285580942</v>
      </c>
      <c r="E7" s="36" t="s">
        <v>98</v>
      </c>
      <c r="F7" s="36">
        <v>1.5668989800855393</v>
      </c>
      <c r="G7" s="36" t="s">
        <v>98</v>
      </c>
      <c r="H7" s="36">
        <v>1.3321834121764768</v>
      </c>
      <c r="I7" s="36" t="s">
        <v>98</v>
      </c>
      <c r="J7" s="36">
        <v>1.36289077492212</v>
      </c>
      <c r="K7" s="36" t="s">
        <v>98</v>
      </c>
      <c r="L7" s="36">
        <v>1.3308885632599343</v>
      </c>
      <c r="M7" s="36" t="s">
        <v>98</v>
      </c>
      <c r="N7" s="36">
        <v>2.4562844569254056</v>
      </c>
      <c r="O7" s="36" t="s">
        <v>98</v>
      </c>
      <c r="P7" s="36">
        <v>1.5905612397739564</v>
      </c>
    </row>
    <row r="8" spans="1:16">
      <c r="A8" s="36" t="s">
        <v>99</v>
      </c>
      <c r="B8" s="36">
        <v>3.3747126436781612</v>
      </c>
      <c r="C8" s="36" t="s">
        <v>99</v>
      </c>
      <c r="D8" s="36">
        <v>2.7540229885057474</v>
      </c>
      <c r="E8" s="36" t="s">
        <v>99</v>
      </c>
      <c r="F8" s="36">
        <v>2.455172413793103</v>
      </c>
      <c r="G8" s="36" t="s">
        <v>99</v>
      </c>
      <c r="H8" s="36">
        <v>1.7747126436781611</v>
      </c>
      <c r="I8" s="36" t="s">
        <v>99</v>
      </c>
      <c r="J8" s="36">
        <v>1.8574712643678164</v>
      </c>
      <c r="K8" s="36" t="s">
        <v>99</v>
      </c>
      <c r="L8" s="36">
        <v>1.7712643678160922</v>
      </c>
      <c r="M8" s="36" t="s">
        <v>99</v>
      </c>
      <c r="N8" s="36">
        <v>6.0333333333333341</v>
      </c>
      <c r="O8" s="36" t="s">
        <v>99</v>
      </c>
      <c r="P8" s="36">
        <v>2.5298850574712648</v>
      </c>
    </row>
    <row r="9" spans="1:16">
      <c r="A9" s="36" t="s">
        <v>100</v>
      </c>
      <c r="B9" s="36">
        <v>-1.0336649880200222</v>
      </c>
      <c r="C9" s="36" t="s">
        <v>100</v>
      </c>
      <c r="D9" s="36">
        <v>-0.59013611604044769</v>
      </c>
      <c r="E9" s="36" t="s">
        <v>100</v>
      </c>
      <c r="F9" s="36">
        <v>1.0557053482504837</v>
      </c>
      <c r="G9" s="36" t="s">
        <v>100</v>
      </c>
      <c r="H9" s="36">
        <v>1.5244872345566303</v>
      </c>
      <c r="I9" s="36" t="s">
        <v>100</v>
      </c>
      <c r="J9" s="36">
        <v>-0.29183719733359714</v>
      </c>
      <c r="K9" s="36" t="s">
        <v>100</v>
      </c>
      <c r="L9" s="36">
        <v>-0.89935628647143862</v>
      </c>
      <c r="M9" s="36" t="s">
        <v>100</v>
      </c>
      <c r="N9" s="36">
        <v>-0.94507571856059025</v>
      </c>
      <c r="O9" s="36" t="s">
        <v>100</v>
      </c>
      <c r="P9" s="36">
        <v>-0.82474858236196003</v>
      </c>
    </row>
    <row r="10" spans="1:16">
      <c r="A10" s="36" t="s">
        <v>101</v>
      </c>
      <c r="B10" s="36">
        <v>0.10976079808007462</v>
      </c>
      <c r="C10" s="36" t="s">
        <v>101</v>
      </c>
      <c r="D10" s="36">
        <v>0.36811686710105868</v>
      </c>
      <c r="E10" s="36" t="s">
        <v>101</v>
      </c>
      <c r="F10" s="36">
        <v>0.832071554832992</v>
      </c>
      <c r="G10" s="36" t="s">
        <v>101</v>
      </c>
      <c r="H10" s="36">
        <v>1.1079133187542465</v>
      </c>
      <c r="I10" s="36" t="s">
        <v>101</v>
      </c>
      <c r="J10" s="36">
        <v>-0.48478887514081248</v>
      </c>
      <c r="K10" s="36" t="s">
        <v>101</v>
      </c>
      <c r="L10" s="36">
        <v>0.12879367613808343</v>
      </c>
      <c r="M10" s="36" t="s">
        <v>101</v>
      </c>
      <c r="N10" s="36">
        <v>0.13087905948426412</v>
      </c>
      <c r="O10" s="36" t="s">
        <v>101</v>
      </c>
      <c r="P10" s="36">
        <v>6.2597484612427937E-2</v>
      </c>
    </row>
    <row r="11" spans="1:16">
      <c r="A11" s="36" t="s">
        <v>102</v>
      </c>
      <c r="B11" s="36">
        <v>6</v>
      </c>
      <c r="C11" s="36" t="s">
        <v>102</v>
      </c>
      <c r="D11" s="36">
        <v>6</v>
      </c>
      <c r="E11" s="36" t="s">
        <v>102</v>
      </c>
      <c r="F11" s="36">
        <v>7</v>
      </c>
      <c r="G11" s="36" t="s">
        <v>102</v>
      </c>
      <c r="H11" s="36">
        <v>5</v>
      </c>
      <c r="I11" s="36" t="s">
        <v>102</v>
      </c>
      <c r="J11" s="36">
        <v>5</v>
      </c>
      <c r="K11" s="36" t="s">
        <v>102</v>
      </c>
      <c r="L11" s="36">
        <v>5</v>
      </c>
      <c r="M11" s="36" t="s">
        <v>102</v>
      </c>
      <c r="N11" s="36">
        <v>8</v>
      </c>
      <c r="O11" s="36" t="s">
        <v>102</v>
      </c>
      <c r="P11" s="36">
        <v>6</v>
      </c>
    </row>
    <row r="12" spans="1:16">
      <c r="A12" s="36" t="s">
        <v>103</v>
      </c>
      <c r="B12" s="36">
        <v>0</v>
      </c>
      <c r="C12" s="36" t="s">
        <v>103</v>
      </c>
      <c r="D12" s="36">
        <v>0</v>
      </c>
      <c r="E12" s="36" t="s">
        <v>103</v>
      </c>
      <c r="F12" s="36">
        <v>0</v>
      </c>
      <c r="G12" s="36" t="s">
        <v>103</v>
      </c>
      <c r="H12" s="36">
        <v>0</v>
      </c>
      <c r="I12" s="36" t="s">
        <v>103</v>
      </c>
      <c r="J12" s="36">
        <v>1</v>
      </c>
      <c r="K12" s="36" t="s">
        <v>103</v>
      </c>
      <c r="L12" s="36">
        <v>1</v>
      </c>
      <c r="M12" s="36" t="s">
        <v>103</v>
      </c>
      <c r="N12" s="36">
        <v>5</v>
      </c>
      <c r="O12" s="36" t="s">
        <v>103</v>
      </c>
      <c r="P12" s="36">
        <v>1</v>
      </c>
    </row>
    <row r="13" spans="1:16">
      <c r="A13" s="36" t="s">
        <v>104</v>
      </c>
      <c r="B13" s="36">
        <v>6</v>
      </c>
      <c r="C13" s="36" t="s">
        <v>104</v>
      </c>
      <c r="D13" s="36">
        <v>6</v>
      </c>
      <c r="E13" s="36" t="s">
        <v>104</v>
      </c>
      <c r="F13" s="36">
        <v>7</v>
      </c>
      <c r="G13" s="36" t="s">
        <v>104</v>
      </c>
      <c r="H13" s="36">
        <v>5</v>
      </c>
      <c r="I13" s="36" t="s">
        <v>104</v>
      </c>
      <c r="J13" s="36">
        <v>6</v>
      </c>
      <c r="K13" s="36" t="s">
        <v>104</v>
      </c>
      <c r="L13" s="36">
        <v>6</v>
      </c>
      <c r="M13" s="36" t="s">
        <v>104</v>
      </c>
      <c r="N13" s="36">
        <v>13</v>
      </c>
      <c r="O13" s="36" t="s">
        <v>104</v>
      </c>
      <c r="P13" s="36">
        <v>7</v>
      </c>
    </row>
    <row r="14" spans="1:16">
      <c r="A14" s="36" t="s">
        <v>105</v>
      </c>
      <c r="B14" s="36">
        <v>92</v>
      </c>
      <c r="C14" s="36" t="s">
        <v>105</v>
      </c>
      <c r="D14" s="36">
        <v>68</v>
      </c>
      <c r="E14" s="36" t="s">
        <v>105</v>
      </c>
      <c r="F14" s="36">
        <v>72</v>
      </c>
      <c r="G14" s="36" t="s">
        <v>105</v>
      </c>
      <c r="H14" s="36">
        <v>44</v>
      </c>
      <c r="I14" s="36" t="s">
        <v>105</v>
      </c>
      <c r="J14" s="36">
        <v>118</v>
      </c>
      <c r="K14" s="36" t="s">
        <v>105</v>
      </c>
      <c r="L14" s="36">
        <v>107</v>
      </c>
      <c r="M14" s="36" t="s">
        <v>105</v>
      </c>
      <c r="N14" s="36">
        <v>269</v>
      </c>
      <c r="O14" s="36" t="s">
        <v>105</v>
      </c>
      <c r="P14" s="36">
        <v>107</v>
      </c>
    </row>
    <row r="15" spans="1:16">
      <c r="A15" s="36" t="s">
        <v>106</v>
      </c>
      <c r="B15" s="36">
        <v>30</v>
      </c>
      <c r="C15" s="36" t="s">
        <v>106</v>
      </c>
      <c r="D15" s="36">
        <v>30</v>
      </c>
      <c r="E15" s="36" t="s">
        <v>106</v>
      </c>
      <c r="F15" s="36">
        <v>30</v>
      </c>
      <c r="G15" s="36" t="s">
        <v>106</v>
      </c>
      <c r="H15" s="36">
        <v>30</v>
      </c>
      <c r="I15" s="36" t="s">
        <v>106</v>
      </c>
      <c r="J15" s="36">
        <v>30</v>
      </c>
      <c r="K15" s="36" t="s">
        <v>106</v>
      </c>
      <c r="L15" s="36">
        <v>30</v>
      </c>
      <c r="M15" s="36" t="s">
        <v>106</v>
      </c>
      <c r="N15" s="36">
        <v>30</v>
      </c>
      <c r="O15" s="36" t="s">
        <v>106</v>
      </c>
      <c r="P15" s="36">
        <v>30</v>
      </c>
    </row>
    <row r="16" spans="1:16">
      <c r="A16" s="36" t="s">
        <v>107</v>
      </c>
      <c r="B16" s="36">
        <v>6</v>
      </c>
      <c r="C16" s="36" t="s">
        <v>107</v>
      </c>
      <c r="D16" s="36">
        <v>6</v>
      </c>
      <c r="E16" s="36" t="s">
        <v>107</v>
      </c>
      <c r="F16" s="36">
        <v>7</v>
      </c>
      <c r="G16" s="36" t="s">
        <v>107</v>
      </c>
      <c r="H16" s="36">
        <v>5</v>
      </c>
      <c r="I16" s="36" t="s">
        <v>107</v>
      </c>
      <c r="J16" s="36">
        <v>6</v>
      </c>
      <c r="K16" s="36" t="s">
        <v>107</v>
      </c>
      <c r="L16" s="36">
        <v>6</v>
      </c>
      <c r="M16" s="36" t="s">
        <v>107</v>
      </c>
      <c r="N16" s="36">
        <v>13</v>
      </c>
      <c r="O16" s="36" t="s">
        <v>107</v>
      </c>
      <c r="P16" s="36">
        <v>7</v>
      </c>
    </row>
    <row r="17" spans="1:16">
      <c r="A17" s="36" t="s">
        <v>108</v>
      </c>
      <c r="B17" s="36">
        <v>0</v>
      </c>
      <c r="C17" s="36" t="s">
        <v>108</v>
      </c>
      <c r="D17" s="36">
        <v>0</v>
      </c>
      <c r="E17" s="36" t="s">
        <v>108</v>
      </c>
      <c r="F17" s="36">
        <v>0</v>
      </c>
      <c r="G17" s="36" t="s">
        <v>108</v>
      </c>
      <c r="H17" s="36">
        <v>0</v>
      </c>
      <c r="I17" s="36" t="s">
        <v>108</v>
      </c>
      <c r="J17" s="36">
        <v>1</v>
      </c>
      <c r="K17" s="36" t="s">
        <v>108</v>
      </c>
      <c r="L17" s="36">
        <v>1</v>
      </c>
      <c r="M17" s="36" t="s">
        <v>108</v>
      </c>
      <c r="N17" s="36">
        <v>5</v>
      </c>
      <c r="O17" s="36" t="s">
        <v>108</v>
      </c>
      <c r="P17" s="36">
        <v>1</v>
      </c>
    </row>
    <row r="18" spans="1:16" ht="15.75" thickBot="1">
      <c r="A18" s="37" t="s">
        <v>109</v>
      </c>
      <c r="B18" s="37">
        <v>0.68596167226114413</v>
      </c>
      <c r="C18" s="37" t="s">
        <v>109</v>
      </c>
      <c r="D18" s="37">
        <v>0.61967679242663976</v>
      </c>
      <c r="E18" s="37" t="s">
        <v>109</v>
      </c>
      <c r="F18" s="37">
        <v>0.58508969484394824</v>
      </c>
      <c r="G18" s="37" t="s">
        <v>109</v>
      </c>
      <c r="H18" s="37">
        <v>0.49744546139404183</v>
      </c>
      <c r="I18" s="37" t="s">
        <v>109</v>
      </c>
      <c r="J18" s="37">
        <v>0.50891177908692198</v>
      </c>
      <c r="K18" s="37" t="s">
        <v>109</v>
      </c>
      <c r="L18" s="37">
        <v>0.49696195686243022</v>
      </c>
      <c r="M18" s="37" t="s">
        <v>109</v>
      </c>
      <c r="N18" s="37">
        <v>0.9171916898394834</v>
      </c>
      <c r="O18" s="37" t="s">
        <v>109</v>
      </c>
      <c r="P18" s="37">
        <v>0.59392532782116703</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topLeftCell="A25" workbookViewId="0">
      <selection activeCell="E28" sqref="E28:E31"/>
    </sheetView>
  </sheetViews>
  <sheetFormatPr defaultRowHeight="15"/>
  <cols>
    <col min="1" max="1" width="10.85546875" customWidth="1"/>
    <col min="2" max="2" width="10.140625" customWidth="1"/>
    <col min="3" max="3" width="11.7109375" customWidth="1"/>
    <col min="4" max="4" width="11.28515625" customWidth="1"/>
    <col min="5" max="5" width="12.42578125" customWidth="1"/>
    <col min="6" max="6" width="11.42578125" customWidth="1"/>
    <col min="7" max="7" width="11.7109375" customWidth="1"/>
    <col min="8" max="8" width="11.5703125" customWidth="1"/>
  </cols>
  <sheetData>
    <row r="1" spans="1:8" s="16" customFormat="1">
      <c r="A1" s="16" t="s">
        <v>208</v>
      </c>
      <c r="B1" s="16" t="s">
        <v>84</v>
      </c>
      <c r="C1" s="16" t="s">
        <v>117</v>
      </c>
      <c r="D1" s="16" t="s">
        <v>118</v>
      </c>
      <c r="E1" s="16" t="s">
        <v>119</v>
      </c>
      <c r="F1" s="16" t="s">
        <v>120</v>
      </c>
      <c r="G1" s="16" t="s">
        <v>121</v>
      </c>
      <c r="H1" s="16" t="s">
        <v>122</v>
      </c>
    </row>
    <row r="2" spans="1:8">
      <c r="A2">
        <v>1</v>
      </c>
      <c r="B2" t="s">
        <v>1</v>
      </c>
      <c r="C2" t="s">
        <v>123</v>
      </c>
      <c r="D2" t="s">
        <v>123</v>
      </c>
      <c r="E2">
        <v>0.17699999999999999</v>
      </c>
      <c r="F2">
        <v>3.5000000000000003E-2</v>
      </c>
      <c r="G2" t="s">
        <v>123</v>
      </c>
      <c r="H2">
        <v>4.4999999999999998E-2</v>
      </c>
    </row>
    <row r="3" spans="1:8">
      <c r="A3">
        <v>2</v>
      </c>
      <c r="B3" t="s">
        <v>1</v>
      </c>
      <c r="C3">
        <v>5.0000000000000001E-3</v>
      </c>
      <c r="D3" t="s">
        <v>123</v>
      </c>
      <c r="E3">
        <v>0.24299999999999999</v>
      </c>
      <c r="F3">
        <v>1.9E-2</v>
      </c>
      <c r="G3" t="s">
        <v>123</v>
      </c>
      <c r="H3">
        <v>7.1999999999999995E-2</v>
      </c>
    </row>
    <row r="4" spans="1:8">
      <c r="A4">
        <v>3</v>
      </c>
      <c r="B4" t="s">
        <v>1</v>
      </c>
      <c r="C4" t="s">
        <v>123</v>
      </c>
      <c r="D4" t="s">
        <v>123</v>
      </c>
      <c r="E4">
        <v>0.10100000000000001</v>
      </c>
      <c r="F4">
        <v>2.4E-2</v>
      </c>
      <c r="G4" t="s">
        <v>123</v>
      </c>
      <c r="H4">
        <v>9.8000000000000004E-2</v>
      </c>
    </row>
    <row r="5" spans="1:8">
      <c r="A5">
        <v>4</v>
      </c>
      <c r="B5" t="s">
        <v>1</v>
      </c>
      <c r="C5" t="s">
        <v>123</v>
      </c>
      <c r="D5" t="s">
        <v>123</v>
      </c>
      <c r="E5">
        <v>0.16700000000000001</v>
      </c>
      <c r="F5">
        <v>7.0000000000000001E-3</v>
      </c>
      <c r="G5" t="s">
        <v>123</v>
      </c>
      <c r="H5">
        <v>7.3999999999999996E-2</v>
      </c>
    </row>
    <row r="6" spans="1:8">
      <c r="A6">
        <v>5</v>
      </c>
      <c r="B6" t="s">
        <v>1</v>
      </c>
      <c r="C6" t="s">
        <v>123</v>
      </c>
      <c r="D6" t="s">
        <v>123</v>
      </c>
      <c r="E6">
        <v>0.114</v>
      </c>
      <c r="F6">
        <v>2.1000000000000001E-2</v>
      </c>
      <c r="G6" t="s">
        <v>123</v>
      </c>
      <c r="H6">
        <v>8.8999999999999996E-2</v>
      </c>
    </row>
    <row r="7" spans="1:8">
      <c r="A7">
        <v>6</v>
      </c>
      <c r="B7" t="s">
        <v>1</v>
      </c>
      <c r="C7" t="s">
        <v>123</v>
      </c>
      <c r="D7" t="s">
        <v>123</v>
      </c>
      <c r="E7">
        <v>0.155</v>
      </c>
      <c r="F7">
        <v>1.7999999999999999E-2</v>
      </c>
      <c r="G7" t="s">
        <v>123</v>
      </c>
      <c r="H7">
        <v>5.2999999999999999E-2</v>
      </c>
    </row>
    <row r="8" spans="1:8">
      <c r="A8">
        <v>7</v>
      </c>
      <c r="B8" t="s">
        <v>1</v>
      </c>
      <c r="C8" t="s">
        <v>123</v>
      </c>
      <c r="D8" t="s">
        <v>123</v>
      </c>
      <c r="E8">
        <v>0.17399999999999999</v>
      </c>
      <c r="F8">
        <v>1.2E-2</v>
      </c>
      <c r="G8" t="s">
        <v>123</v>
      </c>
      <c r="H8">
        <v>0.112</v>
      </c>
    </row>
    <row r="9" spans="1:8">
      <c r="A9">
        <v>8</v>
      </c>
      <c r="B9" t="s">
        <v>1</v>
      </c>
      <c r="C9" t="s">
        <v>123</v>
      </c>
      <c r="D9" t="s">
        <v>123</v>
      </c>
      <c r="E9">
        <v>0.26100000000000001</v>
      </c>
      <c r="F9">
        <v>1.0999999999999999E-2</v>
      </c>
      <c r="G9" t="s">
        <v>123</v>
      </c>
      <c r="H9">
        <v>6.7000000000000004E-2</v>
      </c>
    </row>
    <row r="10" spans="1:8">
      <c r="A10">
        <v>9</v>
      </c>
      <c r="B10" t="s">
        <v>1</v>
      </c>
      <c r="C10">
        <v>1.4E-2</v>
      </c>
      <c r="D10" t="s">
        <v>123</v>
      </c>
      <c r="E10">
        <v>0.315</v>
      </c>
      <c r="F10">
        <v>5.0000000000000001E-3</v>
      </c>
      <c r="G10" t="s">
        <v>123</v>
      </c>
      <c r="H10">
        <v>0.24299999999999999</v>
      </c>
    </row>
    <row r="11" spans="1:8">
      <c r="A11">
        <v>10</v>
      </c>
      <c r="B11" t="s">
        <v>1</v>
      </c>
      <c r="C11">
        <v>8.0000000000000002E-3</v>
      </c>
      <c r="D11" t="s">
        <v>123</v>
      </c>
      <c r="E11">
        <v>0.22800000000000001</v>
      </c>
      <c r="F11">
        <v>1.6E-2</v>
      </c>
      <c r="G11" t="s">
        <v>123</v>
      </c>
      <c r="H11">
        <v>8.5999999999999993E-2</v>
      </c>
    </row>
    <row r="12" spans="1:8">
      <c r="A12">
        <v>1</v>
      </c>
      <c r="B12" t="s">
        <v>76</v>
      </c>
      <c r="C12" t="s">
        <v>123</v>
      </c>
      <c r="D12" t="s">
        <v>123</v>
      </c>
      <c r="E12">
        <v>0.53700000000000003</v>
      </c>
      <c r="F12">
        <v>6.0000000000000001E-3</v>
      </c>
      <c r="G12" t="s">
        <v>123</v>
      </c>
      <c r="H12">
        <v>2.1000000000000001E-2</v>
      </c>
    </row>
    <row r="13" spans="1:8">
      <c r="A13">
        <v>2</v>
      </c>
      <c r="B13" t="s">
        <v>76</v>
      </c>
      <c r="C13" t="s">
        <v>123</v>
      </c>
      <c r="D13" t="s">
        <v>123</v>
      </c>
      <c r="E13">
        <v>6.5000000000000002E-2</v>
      </c>
      <c r="F13" t="s">
        <v>123</v>
      </c>
      <c r="G13" t="s">
        <v>123</v>
      </c>
      <c r="H13">
        <v>3.6999999999999998E-2</v>
      </c>
    </row>
    <row r="14" spans="1:8">
      <c r="A14">
        <v>3</v>
      </c>
      <c r="B14" t="s">
        <v>76</v>
      </c>
      <c r="C14" t="s">
        <v>123</v>
      </c>
      <c r="D14" t="s">
        <v>123</v>
      </c>
      <c r="E14">
        <v>0.106</v>
      </c>
      <c r="F14">
        <v>2E-3</v>
      </c>
      <c r="G14" t="s">
        <v>123</v>
      </c>
      <c r="H14">
        <v>5.8999999999999997E-2</v>
      </c>
    </row>
    <row r="15" spans="1:8">
      <c r="A15">
        <v>4</v>
      </c>
      <c r="B15" t="s">
        <v>76</v>
      </c>
      <c r="C15" t="s">
        <v>123</v>
      </c>
      <c r="D15" t="s">
        <v>123</v>
      </c>
      <c r="E15">
        <v>4.5999999999999999E-2</v>
      </c>
      <c r="F15">
        <v>1.0999999999999999E-2</v>
      </c>
      <c r="G15" t="s">
        <v>123</v>
      </c>
      <c r="H15">
        <v>1.9E-2</v>
      </c>
    </row>
    <row r="16" spans="1:8">
      <c r="A16">
        <v>5</v>
      </c>
      <c r="B16" t="s">
        <v>76</v>
      </c>
      <c r="C16" t="s">
        <v>123</v>
      </c>
      <c r="D16" t="s">
        <v>123</v>
      </c>
      <c r="E16">
        <v>3.1E-2</v>
      </c>
      <c r="F16">
        <v>4.0000000000000001E-3</v>
      </c>
      <c r="G16" t="s">
        <v>123</v>
      </c>
      <c r="H16">
        <v>2.1999999999999999E-2</v>
      </c>
    </row>
    <row r="17" spans="1:8">
      <c r="A17">
        <v>6</v>
      </c>
      <c r="B17" t="s">
        <v>76</v>
      </c>
      <c r="C17" t="s">
        <v>123</v>
      </c>
      <c r="D17" t="s">
        <v>123</v>
      </c>
      <c r="E17">
        <v>0.151</v>
      </c>
      <c r="F17" t="s">
        <v>123</v>
      </c>
      <c r="G17" t="s">
        <v>123</v>
      </c>
      <c r="H17">
        <v>2.9000000000000001E-2</v>
      </c>
    </row>
    <row r="18" spans="1:8">
      <c r="A18">
        <v>7</v>
      </c>
      <c r="B18" t="s">
        <v>76</v>
      </c>
      <c r="C18" t="s">
        <v>123</v>
      </c>
      <c r="D18" t="s">
        <v>123</v>
      </c>
      <c r="E18">
        <v>0.13200000000000001</v>
      </c>
      <c r="F18">
        <v>1E-3</v>
      </c>
      <c r="G18" t="s">
        <v>123</v>
      </c>
      <c r="H18">
        <v>3.2000000000000001E-2</v>
      </c>
    </row>
    <row r="19" spans="1:8">
      <c r="A19">
        <v>8</v>
      </c>
      <c r="B19" t="s">
        <v>76</v>
      </c>
      <c r="C19" t="s">
        <v>123</v>
      </c>
      <c r="D19" t="s">
        <v>123</v>
      </c>
      <c r="E19">
        <v>5.2999999999999999E-2</v>
      </c>
      <c r="F19" t="s">
        <v>123</v>
      </c>
      <c r="G19" t="s">
        <v>123</v>
      </c>
      <c r="H19">
        <v>4.7E-2</v>
      </c>
    </row>
    <row r="20" spans="1:8">
      <c r="A20">
        <v>9</v>
      </c>
      <c r="B20" t="s">
        <v>76</v>
      </c>
      <c r="C20">
        <v>1.4E-2</v>
      </c>
      <c r="D20" t="s">
        <v>123</v>
      </c>
      <c r="E20">
        <v>0.13400000000000001</v>
      </c>
      <c r="F20">
        <v>7.0000000000000001E-3</v>
      </c>
      <c r="G20" t="s">
        <v>123</v>
      </c>
      <c r="H20">
        <v>3.9E-2</v>
      </c>
    </row>
    <row r="21" spans="1:8">
      <c r="A21">
        <v>10</v>
      </c>
      <c r="B21" t="s">
        <v>76</v>
      </c>
      <c r="C21">
        <v>6.0000000000000001E-3</v>
      </c>
      <c r="D21" t="s">
        <v>123</v>
      </c>
      <c r="E21">
        <v>0.11899999999999999</v>
      </c>
      <c r="F21">
        <v>5.0000000000000001E-3</v>
      </c>
      <c r="G21" t="s">
        <v>123</v>
      </c>
      <c r="H21">
        <v>4.1000000000000002E-2</v>
      </c>
    </row>
    <row r="22" spans="1:8">
      <c r="A22">
        <v>1</v>
      </c>
      <c r="B22" t="s">
        <v>77</v>
      </c>
      <c r="C22" t="s">
        <v>123</v>
      </c>
      <c r="D22" t="s">
        <v>123</v>
      </c>
      <c r="E22">
        <v>0.223</v>
      </c>
      <c r="F22">
        <v>8.9999999999999993E-3</v>
      </c>
      <c r="G22" t="s">
        <v>123</v>
      </c>
      <c r="H22">
        <v>5.8000000000000003E-2</v>
      </c>
    </row>
    <row r="23" spans="1:8">
      <c r="A23">
        <v>2</v>
      </c>
      <c r="B23" t="s">
        <v>77</v>
      </c>
      <c r="C23">
        <v>3.0000000000000001E-3</v>
      </c>
      <c r="D23" t="s">
        <v>123</v>
      </c>
      <c r="E23">
        <v>0.17799999999999999</v>
      </c>
      <c r="F23">
        <v>1.4E-2</v>
      </c>
      <c r="G23" t="s">
        <v>123</v>
      </c>
      <c r="H23">
        <v>8.1000000000000003E-2</v>
      </c>
    </row>
    <row r="24" spans="1:8">
      <c r="A24">
        <v>3</v>
      </c>
      <c r="B24" t="s">
        <v>77</v>
      </c>
      <c r="C24" t="s">
        <v>123</v>
      </c>
      <c r="D24" t="s">
        <v>123</v>
      </c>
      <c r="E24">
        <v>9.1999999999999998E-2</v>
      </c>
      <c r="F24">
        <v>6.0000000000000001E-3</v>
      </c>
      <c r="G24" t="s">
        <v>123</v>
      </c>
      <c r="H24">
        <v>6.3E-2</v>
      </c>
    </row>
    <row r="25" spans="1:8">
      <c r="A25">
        <v>4</v>
      </c>
      <c r="B25" t="s">
        <v>77</v>
      </c>
      <c r="C25" t="s">
        <v>123</v>
      </c>
      <c r="D25" t="s">
        <v>123</v>
      </c>
      <c r="E25">
        <v>0.13500000000000001</v>
      </c>
      <c r="F25">
        <v>1.0999999999999999E-2</v>
      </c>
      <c r="G25" t="s">
        <v>123</v>
      </c>
      <c r="H25">
        <v>7.0999999999999994E-2</v>
      </c>
    </row>
    <row r="26" spans="1:8">
      <c r="A26">
        <v>5</v>
      </c>
      <c r="B26" t="s">
        <v>77</v>
      </c>
      <c r="C26" t="s">
        <v>123</v>
      </c>
      <c r="D26" t="s">
        <v>123</v>
      </c>
      <c r="E26">
        <v>0.11799999999999999</v>
      </c>
      <c r="F26">
        <v>8.0000000000000002E-3</v>
      </c>
      <c r="G26" t="s">
        <v>123</v>
      </c>
      <c r="H26">
        <v>4.9000000000000002E-2</v>
      </c>
    </row>
    <row r="27" spans="1:8">
      <c r="A27">
        <v>6</v>
      </c>
      <c r="B27" t="s">
        <v>77</v>
      </c>
      <c r="C27" t="s">
        <v>123</v>
      </c>
      <c r="D27" t="s">
        <v>123</v>
      </c>
      <c r="E27">
        <v>0.16400000000000001</v>
      </c>
      <c r="F27">
        <v>1.2E-2</v>
      </c>
      <c r="G27" t="s">
        <v>123</v>
      </c>
      <c r="H27">
        <v>5.3999999999999999E-2</v>
      </c>
    </row>
    <row r="28" spans="1:8">
      <c r="A28">
        <v>7</v>
      </c>
      <c r="B28" t="s">
        <v>77</v>
      </c>
      <c r="C28">
        <v>7.0000000000000001E-3</v>
      </c>
      <c r="D28" t="s">
        <v>123</v>
      </c>
      <c r="E28">
        <v>0.20699999999999999</v>
      </c>
      <c r="F28">
        <v>1.4999999999999999E-2</v>
      </c>
      <c r="G28" t="s">
        <v>123</v>
      </c>
      <c r="H28">
        <v>9.6000000000000002E-2</v>
      </c>
    </row>
    <row r="29" spans="1:8">
      <c r="A29">
        <v>8</v>
      </c>
      <c r="B29" t="s">
        <v>77</v>
      </c>
      <c r="C29" t="s">
        <v>123</v>
      </c>
      <c r="D29" t="s">
        <v>123</v>
      </c>
      <c r="E29">
        <v>0.254</v>
      </c>
      <c r="F29">
        <v>0.01</v>
      </c>
      <c r="G29" t="s">
        <v>123</v>
      </c>
      <c r="H29">
        <v>7.3999999999999996E-2</v>
      </c>
    </row>
    <row r="30" spans="1:8">
      <c r="A30">
        <v>9</v>
      </c>
      <c r="B30" t="s">
        <v>77</v>
      </c>
      <c r="C30">
        <v>1.0999999999999999E-2</v>
      </c>
      <c r="D30" t="s">
        <v>123</v>
      </c>
      <c r="E30">
        <v>0.28599999999999998</v>
      </c>
      <c r="F30">
        <v>1.7999999999999999E-2</v>
      </c>
      <c r="G30" t="s">
        <v>123</v>
      </c>
      <c r="H30">
        <v>0.13100000000000001</v>
      </c>
    </row>
    <row r="31" spans="1:8">
      <c r="A31">
        <v>10</v>
      </c>
      <c r="B31" t="s">
        <v>77</v>
      </c>
      <c r="C31">
        <v>5.0000000000000001E-3</v>
      </c>
      <c r="D31" t="s">
        <v>123</v>
      </c>
      <c r="E31">
        <v>0.19600000000000001</v>
      </c>
      <c r="F31">
        <v>1.2999999999999999E-2</v>
      </c>
      <c r="G31" t="s">
        <v>123</v>
      </c>
      <c r="H31">
        <v>6.9000000000000006E-2</v>
      </c>
    </row>
  </sheetData>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type="stacked" displayEmptyCellsAs="gap" negative="1">
          <x14:colorSeries rgb="FF376092"/>
          <x14:colorNegative rgb="FFD00000"/>
          <x14:colorAxis rgb="FF000000"/>
          <x14:colorMarkers rgb="FFD00000"/>
          <x14:colorFirst rgb="FFD00000"/>
          <x14:colorLast rgb="FFD00000"/>
          <x14:colorHigh rgb="FFD00000"/>
          <x14:colorLow rgb="FFD00000"/>
          <x14:sparklines>
            <x14:sparkline>
              <xm:f>Sheet4!D27</xm:f>
              <xm:sqref>D34</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3090D7F-C185-4A4C-BB5D-CDC2529B5F1A}">
  <ds:schemaRefs/>
</ds:datastoreItem>
</file>

<file path=customXml/itemProps2.xml><?xml version="1.0" encoding="utf-8"?>
<ds:datastoreItem xmlns:ds="http://schemas.openxmlformats.org/officeDocument/2006/customXml" ds:itemID="{86CA75E3-E21E-434C-A43A-B0720158BA18}">
  <ds:schemaRefs/>
</ds:datastoreItem>
</file>

<file path=customXml/itemProps3.xml><?xml version="1.0" encoding="utf-8"?>
<ds:datastoreItem xmlns:ds="http://schemas.openxmlformats.org/officeDocument/2006/customXml" ds:itemID="{2AA07D9B-9B71-4D97-B437-24795A17A29D}">
  <ds:schemaRefs/>
</ds:datastoreItem>
</file>

<file path=customXml/itemProps4.xml><?xml version="1.0" encoding="utf-8"?>
<ds:datastoreItem xmlns:ds="http://schemas.openxmlformats.org/officeDocument/2006/customXml" ds:itemID="{10688E26-BB80-4EDB-A7D4-972354548DA3}">
  <ds:schemaRefs/>
</ds:datastoreItem>
</file>

<file path=customXml/itemProps5.xml><?xml version="1.0" encoding="utf-8"?>
<ds:datastoreItem xmlns:ds="http://schemas.openxmlformats.org/officeDocument/2006/customXml" ds:itemID="{E0FBEA6E-DDA9-43DD-B21C-17A9C973B3B2}">
  <ds:schemaRefs/>
</ds:datastoreItem>
</file>

<file path=customXml/itemProps6.xml><?xml version="1.0" encoding="utf-8"?>
<ds:datastoreItem xmlns:ds="http://schemas.openxmlformats.org/officeDocument/2006/customXml" ds:itemID="{8075F622-C6FE-4CF7-A265-929EC9675C7B}">
  <ds:schemaRefs/>
</ds:datastoreItem>
</file>

<file path=customXml/itemProps7.xml><?xml version="1.0" encoding="utf-8"?>
<ds:datastoreItem xmlns:ds="http://schemas.openxmlformats.org/officeDocument/2006/customXml" ds:itemID="{937769B9-5EF4-4DD0-A5ED-6D8AA6ABE275}">
  <ds:schemaRefs/>
</ds:datastoreItem>
</file>

<file path=customXml/itemProps8.xml><?xml version="1.0" encoding="utf-8"?>
<ds:datastoreItem xmlns:ds="http://schemas.openxmlformats.org/officeDocument/2006/customXml" ds:itemID="{35806BB7-D03E-48AE-B234-A296AAD4BAB3}">
  <ds:schemaRefs/>
</ds:datastoreItem>
</file>

<file path=customXml/itemProps9.xml><?xml version="1.0" encoding="utf-8"?>
<ds:datastoreItem xmlns:ds="http://schemas.openxmlformats.org/officeDocument/2006/customXml" ds:itemID="{AA45BD50-54CF-4E91-AD12-5B0623CC605F}">
  <ds:schemaRefs/>
</ds:datastoreItem>
</file>

<file path=customXml/itemProps10.xml><?xml version="1.0" encoding="utf-8"?>
<ds:datastoreItem xmlns:ds="http://schemas.openxmlformats.org/officeDocument/2006/customXml" ds:itemID="{FE7E12E0-E6C2-4AB0-8CF3-4A92A08A81E8}">
  <ds:schemaRefs/>
</ds:datastoreItem>
</file>

<file path=customXml/itemProps11.xml><?xml version="1.0" encoding="utf-8"?>
<ds:datastoreItem xmlns:ds="http://schemas.openxmlformats.org/officeDocument/2006/customXml" ds:itemID="{326D8641-33F9-4DBF-8B77-59F29783C913}">
  <ds:schemaRefs/>
</ds:datastoreItem>
</file>

<file path=customXml/itemProps12.xml><?xml version="1.0" encoding="utf-8"?>
<ds:datastoreItem xmlns:ds="http://schemas.openxmlformats.org/officeDocument/2006/customXml" ds:itemID="{A04B07DF-5BAD-488E-8FC8-7A1D9AC41BB6}">
  <ds:schemaRefs/>
</ds:datastoreItem>
</file>

<file path=customXml/itemProps13.xml><?xml version="1.0" encoding="utf-8"?>
<ds:datastoreItem xmlns:ds="http://schemas.openxmlformats.org/officeDocument/2006/customXml" ds:itemID="{C877A51D-C810-44CA-B47F-8147F61680EF}">
  <ds:schemaRefs/>
</ds:datastoreItem>
</file>

<file path=customXml/itemProps14.xml><?xml version="1.0" encoding="utf-8"?>
<ds:datastoreItem xmlns:ds="http://schemas.openxmlformats.org/officeDocument/2006/customXml" ds:itemID="{34CF485C-0929-4E2F-9226-8279E88BBB43}">
  <ds:schemaRefs/>
</ds:datastoreItem>
</file>

<file path=customXml/itemProps15.xml><?xml version="1.0" encoding="utf-8"?>
<ds:datastoreItem xmlns:ds="http://schemas.openxmlformats.org/officeDocument/2006/customXml" ds:itemID="{D0B81D2A-7510-4AE8-A5E6-30A87E23FBB7}">
  <ds:schemaRefs/>
</ds:datastoreItem>
</file>

<file path=customXml/itemProps16.xml><?xml version="1.0" encoding="utf-8"?>
<ds:datastoreItem xmlns:ds="http://schemas.openxmlformats.org/officeDocument/2006/customXml" ds:itemID="{CDC8D9EE-261D-4AB3-8B25-3554610F6E86}">
  <ds:schemaRefs/>
</ds:datastoreItem>
</file>

<file path=customXml/itemProps17.xml><?xml version="1.0" encoding="utf-8"?>
<ds:datastoreItem xmlns:ds="http://schemas.openxmlformats.org/officeDocument/2006/customXml" ds:itemID="{631A70FC-7414-4561-A675-CBBF024C74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master sheet phytoplankton</vt:lpstr>
      <vt:lpstr>Sheet3</vt:lpstr>
      <vt:lpstr>MASTER PLANKTON</vt:lpstr>
      <vt:lpstr>GRANDMASTER SHEET (2)</vt:lpstr>
      <vt:lpstr>SPECIE ABUNDANCE</vt:lpstr>
      <vt:lpstr>Sheet5</vt:lpstr>
      <vt:lpstr>GRAND STAT</vt:lpstr>
      <vt:lpstr>GRANDMASTER SHEET</vt:lpstr>
      <vt:lpstr>correlation</vt:lpstr>
      <vt:lpstr>physiochemical and heavy metals</vt:lpstr>
      <vt:lpstr>SPECIE RICHNESS</vt:lpstr>
      <vt:lpstr>Sheet7</vt:lpstr>
      <vt:lpstr>Sheet1</vt:lpstr>
      <vt:lpstr>Jul</vt:lpstr>
      <vt:lpstr>July2 graph</vt:lpstr>
      <vt:lpstr>station richness</vt:lpstr>
      <vt:lpstr>Sheet2</vt:lpstr>
      <vt:lpstr>BIOLOGICAL STAT</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 Godwin Asibor</dc:creator>
  <cp:lastModifiedBy>ADMIN</cp:lastModifiedBy>
  <dcterms:created xsi:type="dcterms:W3CDTF">2025-10-29T13:05:44Z</dcterms:created>
  <dcterms:modified xsi:type="dcterms:W3CDTF">2026-08-13T10:11:01Z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